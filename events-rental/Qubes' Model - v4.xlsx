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ehabnaeem/Developer/monte-carlo/events-rental/"/>
    </mc:Choice>
  </mc:AlternateContent>
  <xr:revisionPtr revIDLastSave="0" documentId="13_ncr:1_{66A4DCBA-E28D-2C4F-BFF0-058AB94D4374}" xr6:coauthVersionLast="47" xr6:coauthVersionMax="47" xr10:uidLastSave="{00000000-0000-0000-0000-000000000000}"/>
  <bookViews>
    <workbookView xWindow="160" yWindow="800" windowWidth="29080" windowHeight="18140" tabRatio="500" xr2:uid="{00000000-000D-0000-FFFF-FFFF00000000}"/>
  </bookViews>
  <sheets>
    <sheet name="Assumptions" sheetId="1" r:id="rId1"/>
    <sheet name="FY1 Event Pipeline" sheetId="2" r:id="rId2"/>
    <sheet name="Human Resources" sheetId="3" r:id="rId3"/>
    <sheet name="CapEx &amp; Storage" sheetId="4" r:id="rId4"/>
    <sheet name="FY1 Event &amp; Demand Timeline" sheetId="5" r:id="rId5"/>
    <sheet name="Depreciation Schedule" sheetId="6" r:id="rId6"/>
    <sheet name="Revenue Projection" sheetId="7" r:id="rId7"/>
    <sheet name="P&amp;L Projection" sheetId="8" r:id="rId8"/>
    <sheet name="Simulation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2" i="8" l="1"/>
  <c r="K61" i="8"/>
  <c r="K60" i="8"/>
  <c r="K59" i="8"/>
  <c r="K58" i="8"/>
  <c r="K63" i="8"/>
  <c r="K56" i="8"/>
  <c r="K55" i="8"/>
  <c r="K54" i="8"/>
  <c r="K53" i="8"/>
  <c r="K52" i="8"/>
  <c r="K51" i="8"/>
  <c r="D8" i="7"/>
  <c r="E8" i="7"/>
  <c r="F8" i="7"/>
  <c r="G8" i="7"/>
  <c r="H8" i="7"/>
  <c r="I8" i="7"/>
  <c r="J8" i="7"/>
  <c r="C8" i="7"/>
  <c r="D7" i="7"/>
  <c r="E7" i="7"/>
  <c r="F7" i="7"/>
  <c r="G7" i="7"/>
  <c r="H7" i="7"/>
  <c r="I7" i="7"/>
  <c r="J7" i="7"/>
  <c r="C7" i="7"/>
  <c r="J68" i="8"/>
  <c r="I68" i="8"/>
  <c r="H68" i="8"/>
  <c r="G68" i="8"/>
  <c r="F68" i="8"/>
  <c r="E68" i="8"/>
  <c r="D68" i="8"/>
  <c r="C68" i="8"/>
  <c r="K68" i="8" s="1"/>
  <c r="K44" i="8"/>
  <c r="D36" i="8"/>
  <c r="E36" i="8" s="1"/>
  <c r="F36" i="8" s="1"/>
  <c r="G36" i="8" s="1"/>
  <c r="H36" i="8" s="1"/>
  <c r="I36" i="8" s="1"/>
  <c r="J36" i="8" s="1"/>
  <c r="C36" i="8"/>
  <c r="K36" i="8" s="1"/>
  <c r="C35" i="8"/>
  <c r="D35" i="8" s="1"/>
  <c r="E35" i="8" s="1"/>
  <c r="F35" i="8" s="1"/>
  <c r="G35" i="8" s="1"/>
  <c r="H35" i="8" s="1"/>
  <c r="I35" i="8" s="1"/>
  <c r="J35" i="8" s="1"/>
  <c r="D34" i="8"/>
  <c r="E34" i="8" s="1"/>
  <c r="F34" i="8" s="1"/>
  <c r="G34" i="8" s="1"/>
  <c r="H34" i="8" s="1"/>
  <c r="I34" i="8" s="1"/>
  <c r="J34" i="8" s="1"/>
  <c r="C34" i="8"/>
  <c r="J33" i="8"/>
  <c r="I33" i="8"/>
  <c r="H33" i="8"/>
  <c r="G33" i="8"/>
  <c r="F33" i="8"/>
  <c r="E33" i="8"/>
  <c r="D33" i="8"/>
  <c r="C33" i="8"/>
  <c r="J36" i="7" a="1"/>
  <c r="J36" i="7" s="1"/>
  <c r="I36" i="7" a="1"/>
  <c r="I36" i="7" s="1"/>
  <c r="H36" i="7" a="1"/>
  <c r="H36" i="7" s="1"/>
  <c r="G36" i="7" a="1"/>
  <c r="G36" i="7" s="1"/>
  <c r="F36" i="7" a="1"/>
  <c r="F36" i="7" s="1"/>
  <c r="E36" i="7" a="1"/>
  <c r="E36" i="7" s="1"/>
  <c r="D36" i="7" a="1"/>
  <c r="D36" i="7" s="1"/>
  <c r="C36" i="7" a="1"/>
  <c r="C36" i="7" s="1"/>
  <c r="J30" i="7" a="1"/>
  <c r="J30" i="7" s="1"/>
  <c r="I30" i="7" a="1"/>
  <c r="I30" i="7" s="1"/>
  <c r="H30" i="7" a="1"/>
  <c r="H30" i="7" s="1"/>
  <c r="G30" i="7" a="1"/>
  <c r="G30" i="7"/>
  <c r="F30" i="7" a="1"/>
  <c r="F30" i="7" s="1"/>
  <c r="E30" i="7" a="1"/>
  <c r="E30" i="7" s="1"/>
  <c r="D30" i="7" a="1"/>
  <c r="D30" i="7" s="1"/>
  <c r="C30" i="7" a="1"/>
  <c r="C30" i="7" s="1"/>
  <c r="J24" i="7" a="1"/>
  <c r="J24" i="7" s="1"/>
  <c r="I24" i="7" a="1"/>
  <c r="I24" i="7" s="1"/>
  <c r="H24" i="7" a="1"/>
  <c r="H24" i="7" s="1"/>
  <c r="G24" i="7" a="1"/>
  <c r="G24" i="7" s="1"/>
  <c r="F24" i="7" a="1"/>
  <c r="F24" i="7" s="1"/>
  <c r="E24" i="7" a="1"/>
  <c r="E24" i="7" s="1"/>
  <c r="D24" i="7" a="1"/>
  <c r="D24" i="7" s="1"/>
  <c r="C24" i="7" a="1"/>
  <c r="C24" i="7"/>
  <c r="J19" i="7"/>
  <c r="I19" i="7"/>
  <c r="H19" i="7"/>
  <c r="G19" i="7"/>
  <c r="G21" i="7" s="1"/>
  <c r="G13" i="8" s="1"/>
  <c r="F19" i="7"/>
  <c r="E19" i="7"/>
  <c r="D19" i="7"/>
  <c r="C19" i="7"/>
  <c r="J18" i="7" a="1"/>
  <c r="J18" i="7" s="1"/>
  <c r="I18" i="7" a="1"/>
  <c r="I18" i="7"/>
  <c r="H18" i="7" a="1"/>
  <c r="H18" i="7" s="1"/>
  <c r="G18" i="7" a="1"/>
  <c r="G18" i="7" s="1"/>
  <c r="F18" i="7" a="1"/>
  <c r="F18" i="7"/>
  <c r="E18" i="7" a="1"/>
  <c r="E18" i="7" s="1"/>
  <c r="D18" i="7" a="1"/>
  <c r="D18" i="7" s="1"/>
  <c r="C18" i="7" a="1"/>
  <c r="C18" i="7" s="1"/>
  <c r="J13" i="7"/>
  <c r="I13" i="7"/>
  <c r="H13" i="7"/>
  <c r="G13" i="7"/>
  <c r="F13" i="7"/>
  <c r="F15" i="7" s="1"/>
  <c r="E13" i="7"/>
  <c r="D13" i="7"/>
  <c r="C13" i="7"/>
  <c r="J12" i="7" a="1"/>
  <c r="J12" i="7" s="1"/>
  <c r="J15" i="7" s="1"/>
  <c r="I12" i="7" a="1"/>
  <c r="I12" i="7" s="1"/>
  <c r="H12" i="7" a="1"/>
  <c r="H12" i="7" s="1"/>
  <c r="G12" i="7" a="1"/>
  <c r="G12" i="7" s="1"/>
  <c r="F12" i="7" a="1"/>
  <c r="F12" i="7"/>
  <c r="E12" i="7" a="1"/>
  <c r="E12" i="7" s="1"/>
  <c r="D12" i="7" a="1"/>
  <c r="D12" i="7" s="1"/>
  <c r="C12" i="7" a="1"/>
  <c r="C12" i="7" s="1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C37" i="6"/>
  <c r="C38" i="6" s="1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C29" i="6"/>
  <c r="C30" i="6" s="1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C22" i="6"/>
  <c r="C23" i="6" s="1"/>
  <c r="E21" i="6"/>
  <c r="D21" i="6"/>
  <c r="C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C13" i="6"/>
  <c r="C14" i="6" s="1"/>
  <c r="C15" i="6" s="1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C5" i="6"/>
  <c r="D74" i="5"/>
  <c r="A74" i="5"/>
  <c r="A73" i="5"/>
  <c r="A72" i="5"/>
  <c r="D71" i="5"/>
  <c r="A71" i="5"/>
  <c r="A70" i="5"/>
  <c r="A69" i="5"/>
  <c r="D69" i="5" s="1"/>
  <c r="D68" i="5"/>
  <c r="A68" i="5"/>
  <c r="A67" i="5"/>
  <c r="D67" i="5" s="1"/>
  <c r="D66" i="5"/>
  <c r="A66" i="5"/>
  <c r="D65" i="5"/>
  <c r="A65" i="5"/>
  <c r="D64" i="5"/>
  <c r="A64" i="5"/>
  <c r="A63" i="5"/>
  <c r="D60" i="5"/>
  <c r="A60" i="5"/>
  <c r="D59" i="5"/>
  <c r="A59" i="5"/>
  <c r="D58" i="5"/>
  <c r="A58" i="5"/>
  <c r="D57" i="5"/>
  <c r="A57" i="5"/>
  <c r="A56" i="5"/>
  <c r="A55" i="5"/>
  <c r="D55" i="5" s="1"/>
  <c r="D54" i="5"/>
  <c r="A54" i="5"/>
  <c r="D53" i="5"/>
  <c r="A53" i="5"/>
  <c r="D52" i="5"/>
  <c r="A52" i="5"/>
  <c r="D51" i="5"/>
  <c r="A51" i="5"/>
  <c r="A50" i="5"/>
  <c r="A49" i="5"/>
  <c r="D46" i="5"/>
  <c r="A46" i="5"/>
  <c r="A45" i="5"/>
  <c r="A44" i="5"/>
  <c r="D44" i="5" s="1"/>
  <c r="A43" i="5"/>
  <c r="D43" i="5" s="1"/>
  <c r="A42" i="5"/>
  <c r="D42" i="5" s="1"/>
  <c r="A41" i="5"/>
  <c r="A40" i="5"/>
  <c r="A39" i="5"/>
  <c r="A38" i="5"/>
  <c r="A37" i="5"/>
  <c r="A36" i="5"/>
  <c r="A35" i="5"/>
  <c r="D32" i="5"/>
  <c r="A32" i="5"/>
  <c r="A31" i="5"/>
  <c r="A30" i="5"/>
  <c r="A29" i="5"/>
  <c r="A28" i="5"/>
  <c r="A27" i="5"/>
  <c r="A26" i="5"/>
  <c r="A25" i="5"/>
  <c r="D24" i="5"/>
  <c r="A24" i="5"/>
  <c r="D23" i="5"/>
  <c r="C23" i="5"/>
  <c r="A23" i="5"/>
  <c r="A22" i="5"/>
  <c r="D21" i="5"/>
  <c r="A21" i="5"/>
  <c r="D18" i="5"/>
  <c r="A18" i="5"/>
  <c r="A17" i="5"/>
  <c r="D17" i="5" s="1"/>
  <c r="D16" i="5"/>
  <c r="A16" i="5"/>
  <c r="C16" i="5" s="1"/>
  <c r="A15" i="5"/>
  <c r="B15" i="5" s="1"/>
  <c r="D14" i="5"/>
  <c r="A14" i="5"/>
  <c r="A13" i="5"/>
  <c r="D13" i="5" s="1"/>
  <c r="D12" i="5"/>
  <c r="A12" i="5"/>
  <c r="D11" i="5"/>
  <c r="C11" i="5"/>
  <c r="A11" i="5"/>
  <c r="B11" i="5" s="1"/>
  <c r="D10" i="5"/>
  <c r="A10" i="5"/>
  <c r="C10" i="5" s="1"/>
  <c r="D9" i="5"/>
  <c r="C9" i="5"/>
  <c r="A9" i="5"/>
  <c r="D8" i="5"/>
  <c r="A8" i="5"/>
  <c r="A7" i="5"/>
  <c r="B7" i="5" s="1"/>
  <c r="E5" i="5"/>
  <c r="B68" i="4"/>
  <c r="C68" i="4" s="1"/>
  <c r="B67" i="4"/>
  <c r="C67" i="4" s="1"/>
  <c r="E60" i="4"/>
  <c r="B66" i="4" s="1"/>
  <c r="C66" i="4" s="1"/>
  <c r="G59" i="4"/>
  <c r="H59" i="4" s="1"/>
  <c r="I59" i="4" s="1"/>
  <c r="J59" i="4" s="1"/>
  <c r="K59" i="4" s="1"/>
  <c r="L59" i="4" s="1"/>
  <c r="E59" i="4"/>
  <c r="F59" i="4" s="1"/>
  <c r="G56" i="4"/>
  <c r="H56" i="4" s="1"/>
  <c r="I56" i="4" s="1"/>
  <c r="J56" i="4" s="1"/>
  <c r="K56" i="4" s="1"/>
  <c r="L56" i="4" s="1"/>
  <c r="F56" i="4"/>
  <c r="L48" i="4" a="1"/>
  <c r="L48" i="4" s="1"/>
  <c r="L18" i="4" s="1"/>
  <c r="K48" i="4" a="1"/>
  <c r="K48" i="4" s="1"/>
  <c r="K18" i="4" s="1"/>
  <c r="J48" i="4" a="1"/>
  <c r="J48" i="4" s="1"/>
  <c r="J18" i="4" s="1"/>
  <c r="I48" i="4" a="1"/>
  <c r="I48" i="4"/>
  <c r="I18" i="4" s="1"/>
  <c r="G58" i="8" s="1"/>
  <c r="H48" i="4" a="1"/>
  <c r="H48" i="4" s="1"/>
  <c r="H18" i="4" s="1"/>
  <c r="G48" i="4" a="1"/>
  <c r="G48" i="4" s="1"/>
  <c r="G18" i="4" s="1"/>
  <c r="F48" i="4" a="1"/>
  <c r="F48" i="4" s="1"/>
  <c r="E48" i="4" a="1"/>
  <c r="E48" i="4" s="1"/>
  <c r="E18" i="4" s="1"/>
  <c r="L47" i="4"/>
  <c r="K47" i="4"/>
  <c r="J47" i="4"/>
  <c r="I47" i="4"/>
  <c r="H47" i="4"/>
  <c r="G47" i="4"/>
  <c r="F47" i="4"/>
  <c r="E47" i="4"/>
  <c r="E45" i="4"/>
  <c r="C11" i="7" s="1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N45" i="4" s="1"/>
  <c r="M27" i="4"/>
  <c r="M45" i="4" s="1"/>
  <c r="F18" i="4"/>
  <c r="D58" i="8" s="1"/>
  <c r="D16" i="4"/>
  <c r="F9" i="4" s="1" a="1"/>
  <c r="F9" i="4" s="1"/>
  <c r="C16" i="4"/>
  <c r="D15" i="4"/>
  <c r="E8" i="4" s="1" a="1"/>
  <c r="E8" i="4" s="1"/>
  <c r="C15" i="4"/>
  <c r="D14" i="4"/>
  <c r="C14" i="4"/>
  <c r="D13" i="4"/>
  <c r="C13" i="4"/>
  <c r="G9" i="4" a="1"/>
  <c r="G9" i="4" s="1"/>
  <c r="E9" i="4" a="1"/>
  <c r="E9" i="4" s="1"/>
  <c r="C35" i="7" s="1"/>
  <c r="F8" i="4" a="1"/>
  <c r="F8" i="4" s="1"/>
  <c r="E7" i="4" a="1"/>
  <c r="E7" i="4" s="1"/>
  <c r="G6" i="4" a="1"/>
  <c r="G6" i="4" s="1"/>
  <c r="E6" i="4" a="1"/>
  <c r="E6" i="4" s="1"/>
  <c r="F5" i="4" a="1"/>
  <c r="F5" i="4" s="1"/>
  <c r="E5" i="4" a="1"/>
  <c r="E5" i="4" s="1"/>
  <c r="G2" i="4"/>
  <c r="F2" i="4"/>
  <c r="F6" i="4" s="1" a="1"/>
  <c r="F6" i="4" s="1"/>
  <c r="D37" i="3"/>
  <c r="D38" i="3" s="1"/>
  <c r="C32" i="8" s="1"/>
  <c r="H36" i="3"/>
  <c r="G36" i="3"/>
  <c r="F36" i="3"/>
  <c r="E36" i="3"/>
  <c r="D36" i="3"/>
  <c r="K24" i="3"/>
  <c r="J24" i="3"/>
  <c r="I24" i="3"/>
  <c r="H24" i="3"/>
  <c r="G24" i="3"/>
  <c r="F24" i="3"/>
  <c r="E24" i="3"/>
  <c r="D24" i="3"/>
  <c r="E20" i="3"/>
  <c r="E30" i="3" s="1"/>
  <c r="D20" i="3"/>
  <c r="D30" i="3" s="1"/>
  <c r="D19" i="3"/>
  <c r="D29" i="3" s="1"/>
  <c r="E18" i="3"/>
  <c r="F18" i="3" s="1"/>
  <c r="D18" i="3"/>
  <c r="D28" i="3" s="1"/>
  <c r="D17" i="3"/>
  <c r="E17" i="3" s="1"/>
  <c r="E16" i="3"/>
  <c r="F16" i="3" s="1"/>
  <c r="D16" i="3"/>
  <c r="D26" i="3" s="1"/>
  <c r="D15" i="3"/>
  <c r="D25" i="3" s="1"/>
  <c r="R17" i="2"/>
  <c r="Q17" i="2"/>
  <c r="P17" i="2"/>
  <c r="O17" i="2"/>
  <c r="N17" i="2"/>
  <c r="B17" i="2"/>
  <c r="R16" i="2"/>
  <c r="Q16" i="2"/>
  <c r="P16" i="2"/>
  <c r="O16" i="2"/>
  <c r="N16" i="2"/>
  <c r="J15" i="2"/>
  <c r="H15" i="2"/>
  <c r="B60" i="5" s="1"/>
  <c r="F15" i="2"/>
  <c r="S14" i="2"/>
  <c r="J14" i="2"/>
  <c r="C59" i="5" s="1"/>
  <c r="H14" i="2"/>
  <c r="F14" i="2"/>
  <c r="S13" i="2"/>
  <c r="J13" i="2"/>
  <c r="H13" i="2"/>
  <c r="F13" i="2"/>
  <c r="S12" i="2"/>
  <c r="M12" i="2"/>
  <c r="L12" i="2"/>
  <c r="K12" i="2"/>
  <c r="J12" i="2"/>
  <c r="H12" i="2"/>
  <c r="B57" i="5" s="1"/>
  <c r="F12" i="2"/>
  <c r="S11" i="2"/>
  <c r="K11" i="2"/>
  <c r="M11" i="2" s="1"/>
  <c r="J11" i="2"/>
  <c r="C42" i="5" s="1"/>
  <c r="H11" i="2"/>
  <c r="F11" i="2"/>
  <c r="J10" i="2"/>
  <c r="C55" i="5" s="1"/>
  <c r="H10" i="2"/>
  <c r="F10" i="2"/>
  <c r="J9" i="2"/>
  <c r="K9" i="2" s="1"/>
  <c r="H9" i="2"/>
  <c r="B12" i="5" s="1"/>
  <c r="F9" i="2"/>
  <c r="J8" i="2"/>
  <c r="K8" i="2" s="1"/>
  <c r="H8" i="2"/>
  <c r="F8" i="2"/>
  <c r="J7" i="2"/>
  <c r="H7" i="2"/>
  <c r="F7" i="2"/>
  <c r="J6" i="2"/>
  <c r="H6" i="2"/>
  <c r="S6" i="2" s="1"/>
  <c r="F6" i="2"/>
  <c r="S5" i="2"/>
  <c r="J5" i="2"/>
  <c r="C64" i="5" s="1"/>
  <c r="H5" i="2"/>
  <c r="F5" i="2"/>
  <c r="S4" i="2"/>
  <c r="M4" i="2"/>
  <c r="L4" i="2"/>
  <c r="K4" i="2"/>
  <c r="J4" i="2"/>
  <c r="C21" i="5" s="1"/>
  <c r="H4" i="2"/>
  <c r="B21" i="5" s="1"/>
  <c r="F4" i="2"/>
  <c r="B22" i="1"/>
  <c r="B21" i="1"/>
  <c r="B20" i="1"/>
  <c r="B9" i="1"/>
  <c r="C6" i="7" s="1"/>
  <c r="D6" i="7" s="1"/>
  <c r="E6" i="7" s="1"/>
  <c r="F6" i="7" s="1"/>
  <c r="G6" i="7" s="1"/>
  <c r="H6" i="7" s="1"/>
  <c r="I6" i="7" s="1"/>
  <c r="J6" i="7" s="1"/>
  <c r="K33" i="8" l="1"/>
  <c r="E15" i="7"/>
  <c r="D21" i="7"/>
  <c r="D13" i="8" s="1"/>
  <c r="H21" i="7"/>
  <c r="H13" i="8" s="1"/>
  <c r="I21" i="7"/>
  <c r="I13" i="8" s="1"/>
  <c r="G16" i="4"/>
  <c r="G22" i="4" s="1"/>
  <c r="E62" i="8" s="1"/>
  <c r="E12" i="4"/>
  <c r="E46" i="4"/>
  <c r="F12" i="4"/>
  <c r="D14" i="7" s="1"/>
  <c r="F16" i="4"/>
  <c r="F22" i="4" s="1"/>
  <c r="D62" i="8" s="1"/>
  <c r="G16" i="3"/>
  <c r="F26" i="3"/>
  <c r="C29" i="7"/>
  <c r="D29" i="7" s="1"/>
  <c r="E15" i="4"/>
  <c r="M9" i="2"/>
  <c r="L9" i="2"/>
  <c r="E27" i="3"/>
  <c r="F17" i="3"/>
  <c r="F58" i="8"/>
  <c r="F28" i="3"/>
  <c r="G18" i="3"/>
  <c r="M8" i="2"/>
  <c r="L8" i="2"/>
  <c r="C23" i="7"/>
  <c r="E14" i="4"/>
  <c r="E21" i="8"/>
  <c r="D21" i="8"/>
  <c r="C21" i="8"/>
  <c r="J21" i="8"/>
  <c r="I21" i="8"/>
  <c r="H21" i="8"/>
  <c r="C58" i="8"/>
  <c r="G21" i="8"/>
  <c r="F21" i="8"/>
  <c r="B5" i="6" a="1"/>
  <c r="N18" i="4"/>
  <c r="N12" i="4"/>
  <c r="E26" i="3"/>
  <c r="E28" i="3"/>
  <c r="F15" i="4"/>
  <c r="F21" i="4" s="1"/>
  <c r="D61" i="8" s="1"/>
  <c r="C4" i="8"/>
  <c r="E58" i="8"/>
  <c r="B17" i="5"/>
  <c r="B26" i="5"/>
  <c r="L11" i="2"/>
  <c r="G31" i="7"/>
  <c r="G33" i="7" s="1"/>
  <c r="G15" i="8" s="1"/>
  <c r="F31" i="7"/>
  <c r="F33" i="7" s="1"/>
  <c r="F15" i="8" s="1"/>
  <c r="E31" i="7"/>
  <c r="E33" i="7" s="1"/>
  <c r="E15" i="8" s="1"/>
  <c r="D31" i="7"/>
  <c r="D33" i="7" s="1"/>
  <c r="D15" i="8" s="1"/>
  <c r="C31" i="7"/>
  <c r="C33" i="7" s="1"/>
  <c r="J31" i="7"/>
  <c r="J33" i="7" s="1"/>
  <c r="J15" i="8" s="1"/>
  <c r="H31" i="7"/>
  <c r="H33" i="7" s="1"/>
  <c r="H15" i="8" s="1"/>
  <c r="I31" i="7"/>
  <c r="I33" i="7" s="1"/>
  <c r="I15" i="8" s="1"/>
  <c r="B65" i="5"/>
  <c r="B23" i="5"/>
  <c r="B9" i="5"/>
  <c r="E9" i="5" s="1"/>
  <c r="H25" i="7"/>
  <c r="H27" i="7" s="1"/>
  <c r="H14" i="8" s="1"/>
  <c r="G25" i="7"/>
  <c r="G27" i="7" s="1"/>
  <c r="G14" i="8" s="1"/>
  <c r="F25" i="7"/>
  <c r="F27" i="7" s="1"/>
  <c r="F14" i="8" s="1"/>
  <c r="E25" i="7"/>
  <c r="E27" i="7" s="1"/>
  <c r="E14" i="8" s="1"/>
  <c r="D25" i="7"/>
  <c r="D27" i="7" s="1"/>
  <c r="D14" i="8" s="1"/>
  <c r="I25" i="7"/>
  <c r="I27" i="7" s="1"/>
  <c r="I14" i="8" s="1"/>
  <c r="J25" i="7"/>
  <c r="J27" i="7" s="1"/>
  <c r="J14" i="8" s="1"/>
  <c r="C25" i="7"/>
  <c r="C27" i="7" s="1"/>
  <c r="C17" i="5"/>
  <c r="F37" i="7"/>
  <c r="F39" i="7" s="1"/>
  <c r="F16" i="8" s="1"/>
  <c r="E37" i="7"/>
  <c r="E39" i="7" s="1"/>
  <c r="E16" i="8" s="1"/>
  <c r="D37" i="7"/>
  <c r="D39" i="7" s="1"/>
  <c r="D16" i="8" s="1"/>
  <c r="C37" i="7"/>
  <c r="C39" i="7" s="1"/>
  <c r="J37" i="7"/>
  <c r="J39" i="7" s="1"/>
  <c r="J16" i="8" s="1"/>
  <c r="I37" i="7"/>
  <c r="I39" i="7" s="1"/>
  <c r="I16" i="8" s="1"/>
  <c r="H37" i="7"/>
  <c r="H39" i="7" s="1"/>
  <c r="H16" i="8" s="1"/>
  <c r="G37" i="7"/>
  <c r="G39" i="7" s="1"/>
  <c r="G16" i="8" s="1"/>
  <c r="C52" i="5"/>
  <c r="C24" i="5"/>
  <c r="D22" i="5"/>
  <c r="C22" i="5"/>
  <c r="B22" i="5"/>
  <c r="B64" i="5"/>
  <c r="E64" i="5" s="1"/>
  <c r="B36" i="5"/>
  <c r="B8" i="5"/>
  <c r="E8" i="5" s="1"/>
  <c r="C65" i="5"/>
  <c r="E65" i="5" s="1"/>
  <c r="C51" i="5"/>
  <c r="K7" i="2"/>
  <c r="S10" i="2"/>
  <c r="E15" i="3"/>
  <c r="E19" i="3"/>
  <c r="G7" i="4" a="1"/>
  <c r="G7" i="4" s="1"/>
  <c r="G8" i="4" a="1"/>
  <c r="G8" i="4" s="1"/>
  <c r="G15" i="4" s="1"/>
  <c r="G21" i="4" s="1"/>
  <c r="E61" i="8" s="1"/>
  <c r="G5" i="4" a="1"/>
  <c r="G5" i="4" s="1"/>
  <c r="G12" i="4" s="1"/>
  <c r="H58" i="8"/>
  <c r="C14" i="5"/>
  <c r="C15" i="5"/>
  <c r="B73" i="5"/>
  <c r="E73" i="5" s="1"/>
  <c r="B59" i="5"/>
  <c r="C74" i="5"/>
  <c r="C60" i="5"/>
  <c r="C32" i="5"/>
  <c r="E32" i="5" s="1"/>
  <c r="C18" i="5"/>
  <c r="D27" i="3"/>
  <c r="D32" i="3" s="1"/>
  <c r="C31" i="8" s="1"/>
  <c r="D7" i="5"/>
  <c r="C7" i="5"/>
  <c r="B58" i="5"/>
  <c r="B44" i="5"/>
  <c r="B16" i="5"/>
  <c r="E16" i="5" s="1"/>
  <c r="K15" i="2"/>
  <c r="K6" i="2"/>
  <c r="C58" i="5"/>
  <c r="C44" i="5"/>
  <c r="K14" i="2"/>
  <c r="E37" i="3"/>
  <c r="H2" i="4"/>
  <c r="F45" i="4"/>
  <c r="I58" i="8"/>
  <c r="C8" i="5"/>
  <c r="B13" i="5"/>
  <c r="D15" i="5"/>
  <c r="B67" i="5"/>
  <c r="E67" i="5" s="1"/>
  <c r="B39" i="5"/>
  <c r="K10" i="2"/>
  <c r="B38" i="5"/>
  <c r="B10" i="5"/>
  <c r="E10" i="5" s="1"/>
  <c r="C67" i="5"/>
  <c r="C53" i="5"/>
  <c r="G13" i="4"/>
  <c r="G19" i="4" s="1"/>
  <c r="E59" i="8" s="1"/>
  <c r="S9" i="2"/>
  <c r="K5" i="2"/>
  <c r="S8" i="2"/>
  <c r="B42" i="5"/>
  <c r="E42" i="5" s="1"/>
  <c r="B28" i="5"/>
  <c r="B14" i="5"/>
  <c r="C71" i="5"/>
  <c r="C57" i="5"/>
  <c r="C43" i="5"/>
  <c r="K13" i="2"/>
  <c r="J58" i="8"/>
  <c r="C12" i="5"/>
  <c r="C13" i="5"/>
  <c r="F20" i="3"/>
  <c r="C17" i="7"/>
  <c r="D17" i="7" s="1"/>
  <c r="E17" i="7" s="1"/>
  <c r="E61" i="4"/>
  <c r="E62" i="4" s="1"/>
  <c r="E63" i="4" s="1"/>
  <c r="C30" i="8" s="1"/>
  <c r="F61" i="4"/>
  <c r="G61" i="4"/>
  <c r="E13" i="4"/>
  <c r="C20" i="7" s="1"/>
  <c r="F13" i="4"/>
  <c r="F19" i="4" s="1"/>
  <c r="S7" i="2"/>
  <c r="B55" i="5"/>
  <c r="B41" i="5"/>
  <c r="E41" i="5" s="1"/>
  <c r="S15" i="2"/>
  <c r="E16" i="4"/>
  <c r="C38" i="7" s="1"/>
  <c r="D27" i="5"/>
  <c r="C27" i="5"/>
  <c r="E27" i="5" s="1"/>
  <c r="B27" i="5"/>
  <c r="D40" i="5"/>
  <c r="C40" i="5"/>
  <c r="E40" i="5" s="1"/>
  <c r="B40" i="5"/>
  <c r="D37" i="5"/>
  <c r="C37" i="5"/>
  <c r="B31" i="5"/>
  <c r="D31" i="5"/>
  <c r="C31" i="5"/>
  <c r="B37" i="5"/>
  <c r="E37" i="5" s="1"/>
  <c r="F7" i="4" a="1"/>
  <c r="F7" i="4" s="1"/>
  <c r="F14" i="4" s="1"/>
  <c r="F20" i="4" s="1"/>
  <c r="D60" i="8" s="1"/>
  <c r="E74" i="5"/>
  <c r="E63" i="5"/>
  <c r="E60" i="5"/>
  <c r="E59" i="5"/>
  <c r="E57" i="5"/>
  <c r="E58" i="5"/>
  <c r="E55" i="5"/>
  <c r="E45" i="5"/>
  <c r="E44" i="5"/>
  <c r="E49" i="5"/>
  <c r="E38" i="5"/>
  <c r="E35" i="5"/>
  <c r="E29" i="5"/>
  <c r="E28" i="5"/>
  <c r="E26" i="5"/>
  <c r="E25" i="5"/>
  <c r="E23" i="5"/>
  <c r="E22" i="5"/>
  <c r="E21" i="5"/>
  <c r="E31" i="5"/>
  <c r="E17" i="5"/>
  <c r="E15" i="5"/>
  <c r="E14" i="5"/>
  <c r="E13" i="5"/>
  <c r="E12" i="5"/>
  <c r="E11" i="5"/>
  <c r="D29" i="5"/>
  <c r="C29" i="5"/>
  <c r="B29" i="5"/>
  <c r="D35" i="7"/>
  <c r="E35" i="7" s="1"/>
  <c r="F5" i="5"/>
  <c r="D25" i="5"/>
  <c r="C25" i="5"/>
  <c r="D35" i="5"/>
  <c r="C35" i="5"/>
  <c r="B35" i="5"/>
  <c r="E7" i="5"/>
  <c r="B24" i="5"/>
  <c r="E24" i="5" s="1"/>
  <c r="B25" i="5"/>
  <c r="F60" i="4"/>
  <c r="B18" i="5"/>
  <c r="E18" i="5" s="1"/>
  <c r="D26" i="5"/>
  <c r="C26" i="5"/>
  <c r="D28" i="5"/>
  <c r="C28" i="5"/>
  <c r="D39" i="5"/>
  <c r="C39" i="5"/>
  <c r="E39" i="5" s="1"/>
  <c r="B30" i="5"/>
  <c r="E30" i="5" s="1"/>
  <c r="C30" i="5"/>
  <c r="D30" i="5"/>
  <c r="B32" i="5"/>
  <c r="D36" i="5"/>
  <c r="C36" i="5"/>
  <c r="E36" i="5" s="1"/>
  <c r="D38" i="5"/>
  <c r="C38" i="5"/>
  <c r="D41" i="5"/>
  <c r="C41" i="5"/>
  <c r="D45" i="5"/>
  <c r="C45" i="5"/>
  <c r="B45" i="5"/>
  <c r="B50" i="5"/>
  <c r="E50" i="5" s="1"/>
  <c r="C50" i="5"/>
  <c r="D50" i="5"/>
  <c r="B52" i="5"/>
  <c r="E52" i="5" s="1"/>
  <c r="B43" i="5"/>
  <c r="E43" i="5" s="1"/>
  <c r="C46" i="5"/>
  <c r="C54" i="5"/>
  <c r="B49" i="5"/>
  <c r="B51" i="5"/>
  <c r="E51" i="5" s="1"/>
  <c r="D56" i="5"/>
  <c r="C56" i="5"/>
  <c r="B56" i="5"/>
  <c r="E56" i="5" s="1"/>
  <c r="B46" i="5"/>
  <c r="E46" i="5" s="1"/>
  <c r="C49" i="5"/>
  <c r="D49" i="5"/>
  <c r="B53" i="5"/>
  <c r="E53" i="5" s="1"/>
  <c r="D70" i="5"/>
  <c r="C70" i="5"/>
  <c r="E70" i="5" s="1"/>
  <c r="B70" i="5"/>
  <c r="B54" i="5"/>
  <c r="E54" i="5" s="1"/>
  <c r="D63" i="5"/>
  <c r="C63" i="5"/>
  <c r="B63" i="5"/>
  <c r="D72" i="5"/>
  <c r="C72" i="5"/>
  <c r="B72" i="5"/>
  <c r="E72" i="5" s="1"/>
  <c r="C68" i="5"/>
  <c r="B69" i="5"/>
  <c r="E69" i="5" s="1"/>
  <c r="C66" i="5"/>
  <c r="E66" i="5" s="1"/>
  <c r="C69" i="5"/>
  <c r="B71" i="5"/>
  <c r="E71" i="5" s="1"/>
  <c r="B66" i="5"/>
  <c r="B68" i="5"/>
  <c r="E68" i="5" s="1"/>
  <c r="I15" i="6"/>
  <c r="C16" i="6"/>
  <c r="H15" i="6"/>
  <c r="B74" i="5"/>
  <c r="D15" i="7"/>
  <c r="D73" i="5"/>
  <c r="C73" i="5"/>
  <c r="C31" i="6"/>
  <c r="H30" i="6"/>
  <c r="C39" i="6"/>
  <c r="H38" i="6"/>
  <c r="H15" i="7"/>
  <c r="C24" i="6"/>
  <c r="H23" i="6"/>
  <c r="I23" i="6"/>
  <c r="C15" i="7"/>
  <c r="C14" i="7"/>
  <c r="E21" i="7"/>
  <c r="E13" i="8" s="1"/>
  <c r="F12" i="8"/>
  <c r="H14" i="6"/>
  <c r="J12" i="8"/>
  <c r="K34" i="8"/>
  <c r="H22" i="6"/>
  <c r="I15" i="7"/>
  <c r="C21" i="7"/>
  <c r="C6" i="6"/>
  <c r="E12" i="8"/>
  <c r="E17" i="8" s="1"/>
  <c r="F21" i="7"/>
  <c r="F13" i="8" s="1"/>
  <c r="J21" i="7"/>
  <c r="J13" i="8" s="1"/>
  <c r="G15" i="7"/>
  <c r="C32" i="7"/>
  <c r="K35" i="8"/>
  <c r="D26" i="7" l="1"/>
  <c r="E40" i="7"/>
  <c r="F40" i="7"/>
  <c r="J17" i="8"/>
  <c r="J51" i="8" s="1"/>
  <c r="G14" i="4"/>
  <c r="G20" i="4" s="1"/>
  <c r="E60" i="8" s="1"/>
  <c r="E63" i="8" s="1"/>
  <c r="E38" i="7"/>
  <c r="D38" i="7"/>
  <c r="E14" i="7"/>
  <c r="D32" i="7"/>
  <c r="E32" i="7"/>
  <c r="E20" i="7"/>
  <c r="C26" i="7"/>
  <c r="F46" i="4"/>
  <c r="G46" i="4" s="1"/>
  <c r="D4" i="8"/>
  <c r="I12" i="8"/>
  <c r="I17" i="8" s="1"/>
  <c r="I40" i="7"/>
  <c r="F17" i="8"/>
  <c r="M6" i="2"/>
  <c r="L6" i="2"/>
  <c r="D23" i="7"/>
  <c r="E23" i="7" s="1"/>
  <c r="J16" i="6"/>
  <c r="I16" i="6"/>
  <c r="H16" i="6"/>
  <c r="C17" i="6"/>
  <c r="E47" i="5"/>
  <c r="E75" i="5"/>
  <c r="G12" i="8"/>
  <c r="G17" i="8" s="1"/>
  <c r="G40" i="7"/>
  <c r="H12" i="8"/>
  <c r="H17" i="8" s="1"/>
  <c r="H40" i="7"/>
  <c r="C40" i="6"/>
  <c r="I39" i="6"/>
  <c r="H39" i="6"/>
  <c r="C37" i="8"/>
  <c r="C53" i="8" s="1"/>
  <c r="F62" i="4"/>
  <c r="F63" i="4" s="1"/>
  <c r="D30" i="8" s="1"/>
  <c r="D37" i="8" s="1"/>
  <c r="D53" i="8" s="1"/>
  <c r="G60" i="4"/>
  <c r="L13" i="2"/>
  <c r="M13" i="2"/>
  <c r="L5" i="2"/>
  <c r="M5" i="2"/>
  <c r="L10" i="2"/>
  <c r="M10" i="2"/>
  <c r="D11" i="7"/>
  <c r="G45" i="4"/>
  <c r="D59" i="8"/>
  <c r="D63" i="8" s="1"/>
  <c r="F51" i="4"/>
  <c r="H8" i="4" a="1"/>
  <c r="H8" i="4" s="1"/>
  <c r="H15" i="4" s="1"/>
  <c r="H21" i="4" s="1"/>
  <c r="F61" i="8" s="1"/>
  <c r="H7" i="4" a="1"/>
  <c r="H7" i="4" s="1"/>
  <c r="H14" i="4" s="1"/>
  <c r="I2" i="4"/>
  <c r="H5" i="4" a="1"/>
  <c r="H5" i="4" s="1"/>
  <c r="H12" i="4" s="1"/>
  <c r="H9" i="4" a="1"/>
  <c r="H9" i="4" s="1"/>
  <c r="H16" i="4" s="1"/>
  <c r="H6" i="4" a="1"/>
  <c r="H6" i="4" s="1"/>
  <c r="F17" i="7" s="1"/>
  <c r="M15" i="2"/>
  <c r="L15" i="2"/>
  <c r="K33" i="7"/>
  <c r="C15" i="8"/>
  <c r="K15" i="8" s="1"/>
  <c r="F74" i="5"/>
  <c r="F70" i="5"/>
  <c r="F69" i="5"/>
  <c r="F68" i="5"/>
  <c r="F67" i="5"/>
  <c r="F71" i="5"/>
  <c r="F72" i="5"/>
  <c r="F64" i="5"/>
  <c r="F65" i="5"/>
  <c r="F73" i="5"/>
  <c r="F59" i="5"/>
  <c r="F57" i="5"/>
  <c r="F56" i="5"/>
  <c r="F66" i="5"/>
  <c r="F63" i="5"/>
  <c r="F60" i="5"/>
  <c r="F55" i="5"/>
  <c r="F58" i="5"/>
  <c r="F45" i="5"/>
  <c r="F44" i="5"/>
  <c r="F43" i="5"/>
  <c r="F42" i="5"/>
  <c r="F41" i="5"/>
  <c r="F40" i="5"/>
  <c r="F50" i="5"/>
  <c r="F52" i="5"/>
  <c r="F51" i="5"/>
  <c r="F53" i="5"/>
  <c r="F49" i="5"/>
  <c r="F54" i="5"/>
  <c r="F39" i="5"/>
  <c r="F38" i="5"/>
  <c r="F37" i="5"/>
  <c r="F36" i="5"/>
  <c r="F31" i="5"/>
  <c r="F29" i="5"/>
  <c r="F28" i="5"/>
  <c r="F27" i="5"/>
  <c r="F26" i="5"/>
  <c r="F30" i="5"/>
  <c r="F25" i="5"/>
  <c r="G5" i="5"/>
  <c r="F35" i="5"/>
  <c r="F32" i="5"/>
  <c r="F17" i="5"/>
  <c r="F16" i="5"/>
  <c r="F15" i="5"/>
  <c r="F14" i="5"/>
  <c r="F13" i="5"/>
  <c r="F12" i="5"/>
  <c r="F11" i="5"/>
  <c r="F10" i="5"/>
  <c r="F23" i="5"/>
  <c r="F22" i="5"/>
  <c r="F21" i="5"/>
  <c r="F46" i="5"/>
  <c r="F7" i="5"/>
  <c r="F18" i="5"/>
  <c r="F24" i="5"/>
  <c r="F9" i="5"/>
  <c r="F8" i="5"/>
  <c r="C32" i="6"/>
  <c r="H31" i="6"/>
  <c r="I31" i="6"/>
  <c r="E33" i="5"/>
  <c r="H18" i="3"/>
  <c r="G28" i="3"/>
  <c r="F30" i="3"/>
  <c r="G20" i="3"/>
  <c r="H6" i="6"/>
  <c r="C7" i="6"/>
  <c r="E19" i="5"/>
  <c r="C8" i="8"/>
  <c r="D8" i="8" s="1"/>
  <c r="E8" i="8" s="1"/>
  <c r="E22" i="4"/>
  <c r="F19" i="3"/>
  <c r="E29" i="3"/>
  <c r="C14" i="8"/>
  <c r="K14" i="8" s="1"/>
  <c r="K27" i="7"/>
  <c r="K21" i="8"/>
  <c r="C7" i="8"/>
  <c r="D7" i="8" s="1"/>
  <c r="E7" i="8" s="1"/>
  <c r="E21" i="4"/>
  <c r="F37" i="3"/>
  <c r="E38" i="3"/>
  <c r="D32" i="8" s="1"/>
  <c r="C25" i="6"/>
  <c r="H24" i="6"/>
  <c r="J24" i="6"/>
  <c r="I24" i="6"/>
  <c r="E61" i="5"/>
  <c r="M14" i="2"/>
  <c r="L14" i="2"/>
  <c r="F15" i="3"/>
  <c r="E25" i="3"/>
  <c r="E32" i="3" s="1"/>
  <c r="D31" i="8" s="1"/>
  <c r="B11" i="6"/>
  <c r="F11" i="6" s="1"/>
  <c r="G11" i="6" s="1"/>
  <c r="B10" i="6"/>
  <c r="F10" i="6" s="1"/>
  <c r="G10" i="6" s="1"/>
  <c r="B12" i="6"/>
  <c r="F12" i="6" s="1"/>
  <c r="G12" i="6" s="1"/>
  <c r="B9" i="6"/>
  <c r="F9" i="6" s="1"/>
  <c r="G9" i="6" s="1"/>
  <c r="B5" i="6"/>
  <c r="B8" i="6"/>
  <c r="F8" i="6" s="1"/>
  <c r="G8" i="6" s="1"/>
  <c r="B7" i="6"/>
  <c r="F7" i="6" s="1"/>
  <c r="G7" i="6" s="1"/>
  <c r="B6" i="6"/>
  <c r="F6" i="6" s="1"/>
  <c r="G6" i="6" s="1"/>
  <c r="J6" i="6" s="1"/>
  <c r="E29" i="7"/>
  <c r="E51" i="8"/>
  <c r="C13" i="8"/>
  <c r="K13" i="8" s="1"/>
  <c r="K21" i="7"/>
  <c r="J40" i="7"/>
  <c r="C12" i="8"/>
  <c r="C40" i="7"/>
  <c r="K15" i="7"/>
  <c r="D12" i="8"/>
  <c r="D17" i="8" s="1"/>
  <c r="D40" i="7"/>
  <c r="C5" i="8"/>
  <c r="D5" i="8" s="1"/>
  <c r="E5" i="8" s="1"/>
  <c r="D20" i="7"/>
  <c r="E19" i="4"/>
  <c r="E4" i="8"/>
  <c r="M7" i="2"/>
  <c r="L7" i="2"/>
  <c r="K39" i="7"/>
  <c r="C16" i="8"/>
  <c r="K16" i="8" s="1"/>
  <c r="C6" i="8"/>
  <c r="D6" i="8" s="1"/>
  <c r="E6" i="8" s="1"/>
  <c r="E20" i="4"/>
  <c r="G17" i="3"/>
  <c r="F27" i="3"/>
  <c r="H16" i="3"/>
  <c r="G26" i="3"/>
  <c r="G51" i="4" l="1"/>
  <c r="I6" i="6"/>
  <c r="E26" i="7"/>
  <c r="K40" i="7"/>
  <c r="H22" i="4"/>
  <c r="F62" i="8" s="1"/>
  <c r="F38" i="7"/>
  <c r="F14" i="7"/>
  <c r="F32" i="7"/>
  <c r="H20" i="4"/>
  <c r="F60" i="8" s="1"/>
  <c r="F26" i="7"/>
  <c r="F4" i="8"/>
  <c r="F6" i="8"/>
  <c r="F35" i="7"/>
  <c r="F29" i="7"/>
  <c r="F8" i="8"/>
  <c r="H13" i="4"/>
  <c r="H61" i="4"/>
  <c r="H46" i="4"/>
  <c r="K25" i="6"/>
  <c r="J25" i="6"/>
  <c r="I25" i="6"/>
  <c r="C26" i="6"/>
  <c r="H25" i="6"/>
  <c r="C62" i="8"/>
  <c r="E24" i="8"/>
  <c r="D24" i="8"/>
  <c r="C24" i="8"/>
  <c r="F19" i="5"/>
  <c r="E11" i="7"/>
  <c r="H45" i="4"/>
  <c r="G62" i="4"/>
  <c r="G63" i="4" s="1"/>
  <c r="E30" i="8" s="1"/>
  <c r="H60" i="4"/>
  <c r="G51" i="8"/>
  <c r="D22" i="8"/>
  <c r="C22" i="8"/>
  <c r="C59" i="8"/>
  <c r="E22" i="8"/>
  <c r="E51" i="4"/>
  <c r="G37" i="3"/>
  <c r="F38" i="3"/>
  <c r="E32" i="8" s="1"/>
  <c r="K6" i="6"/>
  <c r="F33" i="5"/>
  <c r="F75" i="5"/>
  <c r="I9" i="4" a="1"/>
  <c r="I9" i="4" s="1"/>
  <c r="I16" i="4" s="1"/>
  <c r="I22" i="4" s="1"/>
  <c r="G62" i="8" s="1"/>
  <c r="I5" i="4" a="1"/>
  <c r="I5" i="4" s="1"/>
  <c r="I12" i="4" s="1"/>
  <c r="I8" i="4" a="1"/>
  <c r="I8" i="4" s="1"/>
  <c r="I15" i="4" s="1"/>
  <c r="G32" i="7" s="1"/>
  <c r="J2" i="4"/>
  <c r="I6" i="4" a="1"/>
  <c r="I6" i="4" s="1"/>
  <c r="I13" i="4" s="1"/>
  <c r="I19" i="4" s="1"/>
  <c r="I7" i="4" a="1"/>
  <c r="I7" i="4" s="1"/>
  <c r="I14" i="4" s="1"/>
  <c r="G26" i="7" s="1"/>
  <c r="J40" i="6"/>
  <c r="C41" i="6"/>
  <c r="H40" i="6"/>
  <c r="I40" i="6"/>
  <c r="F51" i="8"/>
  <c r="D51" i="8"/>
  <c r="C23" i="8"/>
  <c r="C60" i="8"/>
  <c r="F23" i="8"/>
  <c r="E23" i="8"/>
  <c r="D23" i="8"/>
  <c r="K12" i="8"/>
  <c r="K17" i="8" s="1"/>
  <c r="C17" i="8"/>
  <c r="C61" i="8"/>
  <c r="M6" i="6"/>
  <c r="L6" i="6"/>
  <c r="J32" i="6"/>
  <c r="I32" i="6"/>
  <c r="C33" i="6"/>
  <c r="H32" i="6"/>
  <c r="N6" i="6"/>
  <c r="H20" i="3"/>
  <c r="G30" i="3"/>
  <c r="F61" i="5"/>
  <c r="C18" i="6"/>
  <c r="H17" i="6"/>
  <c r="J17" i="6"/>
  <c r="I17" i="6"/>
  <c r="K17" i="6"/>
  <c r="F23" i="7"/>
  <c r="G15" i="3"/>
  <c r="F25" i="3"/>
  <c r="F32" i="3" s="1"/>
  <c r="E31" i="8" s="1"/>
  <c r="I16" i="3"/>
  <c r="H26" i="3"/>
  <c r="F5" i="6"/>
  <c r="G5" i="6" s="1"/>
  <c r="O6" i="6"/>
  <c r="I51" i="8"/>
  <c r="F7" i="8"/>
  <c r="F29" i="3"/>
  <c r="G19" i="3"/>
  <c r="O7" i="6"/>
  <c r="N7" i="6"/>
  <c r="H7" i="6"/>
  <c r="C8" i="6"/>
  <c r="I7" i="6"/>
  <c r="J7" i="6"/>
  <c r="M7" i="6"/>
  <c r="L7" i="6"/>
  <c r="K7" i="6"/>
  <c r="F47" i="5"/>
  <c r="H51" i="8"/>
  <c r="H17" i="3"/>
  <c r="G27" i="3"/>
  <c r="I18" i="3"/>
  <c r="H28" i="3"/>
  <c r="G74" i="5"/>
  <c r="G70" i="5"/>
  <c r="G69" i="5"/>
  <c r="G68" i="5"/>
  <c r="G71" i="5"/>
  <c r="G72" i="5"/>
  <c r="G65" i="5"/>
  <c r="G67" i="5"/>
  <c r="G64" i="5"/>
  <c r="G73" i="5"/>
  <c r="G60" i="5"/>
  <c r="G57" i="5"/>
  <c r="G56" i="5"/>
  <c r="G55" i="5"/>
  <c r="G54" i="5"/>
  <c r="G66" i="5"/>
  <c r="G63" i="5"/>
  <c r="G59" i="5"/>
  <c r="G46" i="5"/>
  <c r="G58" i="5"/>
  <c r="G50" i="5"/>
  <c r="G52" i="5"/>
  <c r="G45" i="5"/>
  <c r="G44" i="5"/>
  <c r="G49" i="5"/>
  <c r="G41" i="5"/>
  <c r="G53" i="5"/>
  <c r="G51" i="5"/>
  <c r="G42" i="5"/>
  <c r="G31" i="5"/>
  <c r="G40" i="5"/>
  <c r="G39" i="5"/>
  <c r="G37" i="5"/>
  <c r="G35" i="5"/>
  <c r="G32" i="5"/>
  <c r="G17" i="5"/>
  <c r="G16" i="5"/>
  <c r="G15" i="5"/>
  <c r="G14" i="5"/>
  <c r="G13" i="5"/>
  <c r="G12" i="5"/>
  <c r="G11" i="5"/>
  <c r="G10" i="5"/>
  <c r="G9" i="5"/>
  <c r="G8" i="5"/>
  <c r="G7" i="5"/>
  <c r="G29" i="5"/>
  <c r="G27" i="5"/>
  <c r="G23" i="5"/>
  <c r="G36" i="5"/>
  <c r="G18" i="5"/>
  <c r="G30" i="5"/>
  <c r="G25" i="5"/>
  <c r="H5" i="5"/>
  <c r="G28" i="5"/>
  <c r="G21" i="5"/>
  <c r="G38" i="5"/>
  <c r="G43" i="5"/>
  <c r="G24" i="5"/>
  <c r="G26" i="5"/>
  <c r="G22" i="5"/>
  <c r="F24" i="8" l="1"/>
  <c r="G4" i="8"/>
  <c r="G24" i="8"/>
  <c r="N16" i="4"/>
  <c r="N22" i="4"/>
  <c r="G38" i="7"/>
  <c r="I20" i="4"/>
  <c r="I51" i="4" s="1"/>
  <c r="G14" i="7"/>
  <c r="I21" i="4"/>
  <c r="G35" i="7"/>
  <c r="G17" i="7"/>
  <c r="G8" i="8"/>
  <c r="G23" i="7"/>
  <c r="H19" i="4"/>
  <c r="G20" i="7"/>
  <c r="F20" i="7"/>
  <c r="G7" i="8"/>
  <c r="I61" i="4"/>
  <c r="F5" i="8"/>
  <c r="G5" i="8" s="1"/>
  <c r="E37" i="8"/>
  <c r="E53" i="8" s="1"/>
  <c r="G61" i="5"/>
  <c r="G75" i="5"/>
  <c r="I41" i="6"/>
  <c r="C42" i="6"/>
  <c r="H41" i="6"/>
  <c r="K41" i="6"/>
  <c r="J41" i="6"/>
  <c r="G59" i="8"/>
  <c r="G47" i="5"/>
  <c r="L18" i="6"/>
  <c r="C19" i="6"/>
  <c r="G33" i="5"/>
  <c r="J8" i="6"/>
  <c r="I8" i="6"/>
  <c r="O8" i="6"/>
  <c r="N8" i="6"/>
  <c r="M8" i="6"/>
  <c r="C9" i="6"/>
  <c r="H8" i="6"/>
  <c r="L8" i="6"/>
  <c r="K8" i="6"/>
  <c r="L5" i="6"/>
  <c r="O5" i="6"/>
  <c r="J5" i="6"/>
  <c r="N5" i="6"/>
  <c r="I5" i="6"/>
  <c r="H5" i="6"/>
  <c r="M5" i="6"/>
  <c r="K5" i="6"/>
  <c r="I33" i="6"/>
  <c r="H33" i="6"/>
  <c r="J33" i="6"/>
  <c r="C34" i="6"/>
  <c r="K33" i="6"/>
  <c r="K2" i="4"/>
  <c r="J6" i="4" a="1"/>
  <c r="J6" i="4" s="1"/>
  <c r="J13" i="4" s="1"/>
  <c r="J19" i="4" s="1"/>
  <c r="J9" i="4" a="1"/>
  <c r="J9" i="4" s="1"/>
  <c r="J16" i="4" s="1"/>
  <c r="J22" i="4" s="1"/>
  <c r="H24" i="8" s="1"/>
  <c r="J5" i="4" a="1"/>
  <c r="J5" i="4" s="1"/>
  <c r="J12" i="4" s="1"/>
  <c r="H4" i="8" s="1"/>
  <c r="J7" i="4" a="1"/>
  <c r="J7" i="4" s="1"/>
  <c r="J14" i="4" s="1"/>
  <c r="J20" i="4" s="1"/>
  <c r="J8" i="4" a="1"/>
  <c r="J8" i="4" s="1"/>
  <c r="J15" i="4" s="1"/>
  <c r="J21" i="4" s="1"/>
  <c r="H61" i="8" s="1"/>
  <c r="G6" i="8"/>
  <c r="H62" i="4"/>
  <c r="H63" i="4" s="1"/>
  <c r="F30" i="8" s="1"/>
  <c r="F37" i="8" s="1"/>
  <c r="F53" i="8" s="1"/>
  <c r="I60" i="4"/>
  <c r="H37" i="3"/>
  <c r="G38" i="3"/>
  <c r="F32" i="8" s="1"/>
  <c r="H15" i="3"/>
  <c r="G25" i="3"/>
  <c r="G32" i="3" s="1"/>
  <c r="F31" i="8" s="1"/>
  <c r="C63" i="8"/>
  <c r="J16" i="3"/>
  <c r="I26" i="3"/>
  <c r="G29" i="7"/>
  <c r="F11" i="7"/>
  <c r="I45" i="4"/>
  <c r="I46" i="4"/>
  <c r="J18" i="3"/>
  <c r="I28" i="3"/>
  <c r="H74" i="5"/>
  <c r="H70" i="5"/>
  <c r="H69" i="5"/>
  <c r="H68" i="5"/>
  <c r="H67" i="5"/>
  <c r="H66" i="5"/>
  <c r="H72" i="5"/>
  <c r="H73" i="5"/>
  <c r="H65" i="5"/>
  <c r="H64" i="5"/>
  <c r="H71" i="5"/>
  <c r="H60" i="5"/>
  <c r="H63" i="5"/>
  <c r="H57" i="5"/>
  <c r="H58" i="5"/>
  <c r="H59" i="5"/>
  <c r="H53" i="5"/>
  <c r="H52" i="5"/>
  <c r="H51" i="5"/>
  <c r="H56" i="5"/>
  <c r="H55" i="5"/>
  <c r="H50" i="5"/>
  <c r="H45" i="5"/>
  <c r="H54" i="5"/>
  <c r="H49" i="5"/>
  <c r="H41" i="5"/>
  <c r="H40" i="5"/>
  <c r="H39" i="5"/>
  <c r="H37" i="5"/>
  <c r="H35" i="5"/>
  <c r="H32" i="5"/>
  <c r="H42" i="5"/>
  <c r="H31" i="5"/>
  <c r="H29" i="5"/>
  <c r="H27" i="5"/>
  <c r="H23" i="5"/>
  <c r="H36" i="5"/>
  <c r="H18" i="5"/>
  <c r="H21" i="5"/>
  <c r="H17" i="5"/>
  <c r="H16" i="5"/>
  <c r="H15" i="5"/>
  <c r="H14" i="5"/>
  <c r="H13" i="5"/>
  <c r="H12" i="5"/>
  <c r="H11" i="5"/>
  <c r="H10" i="5"/>
  <c r="H9" i="5"/>
  <c r="H8" i="5"/>
  <c r="H7" i="5"/>
  <c r="I5" i="5"/>
  <c r="H38" i="5"/>
  <c r="H44" i="5"/>
  <c r="H43" i="5"/>
  <c r="H30" i="5"/>
  <c r="H26" i="5"/>
  <c r="H46" i="5"/>
  <c r="H28" i="5"/>
  <c r="H25" i="5"/>
  <c r="H24" i="5"/>
  <c r="H22" i="5"/>
  <c r="G19" i="5"/>
  <c r="I20" i="3"/>
  <c r="H30" i="3"/>
  <c r="I17" i="3"/>
  <c r="H27" i="3"/>
  <c r="H19" i="3"/>
  <c r="G29" i="3"/>
  <c r="C51" i="8"/>
  <c r="L26" i="6"/>
  <c r="C27" i="6"/>
  <c r="H38" i="7" l="1"/>
  <c r="H26" i="7"/>
  <c r="H29" i="7"/>
  <c r="H20" i="7"/>
  <c r="H14" i="7"/>
  <c r="H32" i="7"/>
  <c r="G60" i="8"/>
  <c r="N14" i="4"/>
  <c r="N20" i="4"/>
  <c r="H23" i="8"/>
  <c r="G23" i="8"/>
  <c r="G61" i="8"/>
  <c r="N15" i="4"/>
  <c r="N21" i="4"/>
  <c r="J61" i="4"/>
  <c r="H7" i="8"/>
  <c r="H6" i="8"/>
  <c r="J46" i="4"/>
  <c r="H8" i="8"/>
  <c r="H17" i="7"/>
  <c r="G22" i="8"/>
  <c r="F22" i="8"/>
  <c r="N13" i="4"/>
  <c r="H51" i="4"/>
  <c r="N19" i="4"/>
  <c r="H22" i="8"/>
  <c r="F59" i="8"/>
  <c r="H33" i="5"/>
  <c r="C28" i="6"/>
  <c r="L27" i="6"/>
  <c r="M27" i="6"/>
  <c r="J17" i="3"/>
  <c r="I27" i="3"/>
  <c r="H61" i="5"/>
  <c r="H62" i="8"/>
  <c r="M9" i="6"/>
  <c r="L9" i="6"/>
  <c r="J9" i="6"/>
  <c r="I9" i="6"/>
  <c r="H9" i="6"/>
  <c r="K9" i="6"/>
  <c r="O9" i="6"/>
  <c r="N9" i="6"/>
  <c r="C10" i="6"/>
  <c r="M19" i="6"/>
  <c r="L19" i="6"/>
  <c r="C20" i="6"/>
  <c r="I15" i="3"/>
  <c r="H25" i="3"/>
  <c r="H59" i="8"/>
  <c r="J51" i="4"/>
  <c r="K7" i="4" a="1"/>
  <c r="K7" i="4" s="1"/>
  <c r="K14" i="4" s="1"/>
  <c r="K20" i="4" s="1"/>
  <c r="I60" i="8" s="1"/>
  <c r="L2" i="4"/>
  <c r="K6" i="4" a="1"/>
  <c r="K6" i="4" s="1"/>
  <c r="I17" i="7" s="1"/>
  <c r="K5" i="4" a="1"/>
  <c r="K5" i="4" s="1"/>
  <c r="K12" i="4" s="1"/>
  <c r="I4" i="8" s="1"/>
  <c r="K9" i="4" a="1"/>
  <c r="K9" i="4" s="1"/>
  <c r="K16" i="4" s="1"/>
  <c r="K8" i="4" a="1"/>
  <c r="K8" i="4" s="1"/>
  <c r="K15" i="4" s="1"/>
  <c r="K21" i="4" s="1"/>
  <c r="H47" i="5"/>
  <c r="J28" i="3"/>
  <c r="K18" i="3"/>
  <c r="K28" i="3" s="1"/>
  <c r="H23" i="7"/>
  <c r="I37" i="3"/>
  <c r="H38" i="3"/>
  <c r="G32" i="8" s="1"/>
  <c r="H75" i="5"/>
  <c r="J26" i="3"/>
  <c r="K16" i="3"/>
  <c r="K26" i="3" s="1"/>
  <c r="H5" i="8"/>
  <c r="G11" i="7"/>
  <c r="J45" i="4"/>
  <c r="H35" i="7"/>
  <c r="I19" i="3"/>
  <c r="H29" i="3"/>
  <c r="I74" i="5"/>
  <c r="I72" i="5"/>
  <c r="I71" i="5"/>
  <c r="I69" i="5"/>
  <c r="I65" i="5"/>
  <c r="I64" i="5"/>
  <c r="I73" i="5"/>
  <c r="I70" i="5"/>
  <c r="I60" i="5"/>
  <c r="I59" i="5"/>
  <c r="I58" i="5"/>
  <c r="I66" i="5"/>
  <c r="I68" i="5"/>
  <c r="I67" i="5"/>
  <c r="I63" i="5"/>
  <c r="I53" i="5"/>
  <c r="I52" i="5"/>
  <c r="I51" i="5"/>
  <c r="I56" i="5"/>
  <c r="I54" i="5"/>
  <c r="I50" i="5"/>
  <c r="I57" i="5"/>
  <c r="I55" i="5"/>
  <c r="I45" i="5"/>
  <c r="I40" i="5"/>
  <c r="I39" i="5"/>
  <c r="I37" i="5"/>
  <c r="I35" i="5"/>
  <c r="I32" i="5"/>
  <c r="I46" i="5"/>
  <c r="I43" i="5"/>
  <c r="I36" i="5"/>
  <c r="I31" i="5"/>
  <c r="I18" i="5"/>
  <c r="I21" i="5"/>
  <c r="I24" i="5"/>
  <c r="I42" i="5"/>
  <c r="I29" i="5"/>
  <c r="I27" i="5"/>
  <c r="I23" i="5"/>
  <c r="I41" i="5"/>
  <c r="I38" i="5"/>
  <c r="I22" i="5"/>
  <c r="I17" i="5"/>
  <c r="I15" i="5"/>
  <c r="I13" i="5"/>
  <c r="I11" i="5"/>
  <c r="I9" i="5"/>
  <c r="I44" i="5"/>
  <c r="I30" i="5"/>
  <c r="I49" i="5"/>
  <c r="J5" i="5"/>
  <c r="I25" i="5"/>
  <c r="I14" i="5"/>
  <c r="I7" i="5"/>
  <c r="I8" i="5"/>
  <c r="I16" i="5"/>
  <c r="I26" i="5"/>
  <c r="I10" i="5"/>
  <c r="I28" i="5"/>
  <c r="I12" i="5"/>
  <c r="I62" i="4"/>
  <c r="I63" i="4" s="1"/>
  <c r="G30" i="8" s="1"/>
  <c r="G37" i="8" s="1"/>
  <c r="G53" i="8" s="1"/>
  <c r="J60" i="4"/>
  <c r="H60" i="8"/>
  <c r="L34" i="6"/>
  <c r="C35" i="6"/>
  <c r="J20" i="3"/>
  <c r="I30" i="3"/>
  <c r="H19" i="5"/>
  <c r="L42" i="6"/>
  <c r="K42" i="6"/>
  <c r="C43" i="6"/>
  <c r="H42" i="6"/>
  <c r="J42" i="6"/>
  <c r="I42" i="6"/>
  <c r="K22" i="4" l="1"/>
  <c r="I23" i="8"/>
  <c r="I26" i="7"/>
  <c r="I32" i="7"/>
  <c r="G63" i="8"/>
  <c r="I35" i="7"/>
  <c r="I14" i="7"/>
  <c r="I38" i="7"/>
  <c r="I29" i="7"/>
  <c r="N51" i="4"/>
  <c r="N52" i="4" s="1"/>
  <c r="N23" i="4"/>
  <c r="H63" i="8"/>
  <c r="I7" i="8"/>
  <c r="I8" i="8"/>
  <c r="F63" i="8"/>
  <c r="K13" i="4"/>
  <c r="K61" i="4"/>
  <c r="I23" i="7"/>
  <c r="K60" i="4"/>
  <c r="J62" i="4"/>
  <c r="J63" i="4" s="1"/>
  <c r="H30" i="8" s="1"/>
  <c r="H37" i="8" s="1"/>
  <c r="H53" i="8" s="1"/>
  <c r="H11" i="7"/>
  <c r="K45" i="4"/>
  <c r="L28" i="6"/>
  <c r="M28" i="6"/>
  <c r="N28" i="6"/>
  <c r="C44" i="6"/>
  <c r="M43" i="6"/>
  <c r="L43" i="6"/>
  <c r="K43" i="6"/>
  <c r="J43" i="6"/>
  <c r="I43" i="6"/>
  <c r="H43" i="6"/>
  <c r="K20" i="3"/>
  <c r="K30" i="3" s="1"/>
  <c r="J30" i="3"/>
  <c r="J19" i="3"/>
  <c r="I29" i="3"/>
  <c r="I61" i="8"/>
  <c r="J27" i="3"/>
  <c r="K17" i="3"/>
  <c r="K27" i="3" s="1"/>
  <c r="L10" i="6"/>
  <c r="M10" i="6"/>
  <c r="N10" i="6"/>
  <c r="C11" i="6"/>
  <c r="O10" i="6"/>
  <c r="I19" i="5"/>
  <c r="I75" i="5"/>
  <c r="J74" i="5"/>
  <c r="J72" i="5"/>
  <c r="J71" i="5"/>
  <c r="J73" i="5"/>
  <c r="J70" i="5"/>
  <c r="J69" i="5"/>
  <c r="J66" i="5"/>
  <c r="J64" i="5"/>
  <c r="J60" i="5"/>
  <c r="J65" i="5"/>
  <c r="J63" i="5"/>
  <c r="J67" i="5"/>
  <c r="J68" i="5"/>
  <c r="J59" i="5"/>
  <c r="J53" i="5"/>
  <c r="J52" i="5"/>
  <c r="J51" i="5"/>
  <c r="J50" i="5"/>
  <c r="J49" i="5"/>
  <c r="J57" i="5"/>
  <c r="J54" i="5"/>
  <c r="J58" i="5"/>
  <c r="J56" i="5"/>
  <c r="J46" i="5"/>
  <c r="J32" i="5"/>
  <c r="J31" i="5"/>
  <c r="J30" i="5"/>
  <c r="J44" i="5"/>
  <c r="J42" i="5"/>
  <c r="J55" i="5"/>
  <c r="J35" i="5"/>
  <c r="J47" i="5" s="1"/>
  <c r="J18" i="5"/>
  <c r="J43" i="5"/>
  <c r="J45" i="5"/>
  <c r="J40" i="5"/>
  <c r="J39" i="5"/>
  <c r="J37" i="5"/>
  <c r="J21" i="5"/>
  <c r="J24" i="5"/>
  <c r="J38" i="5"/>
  <c r="J28" i="5"/>
  <c r="J26" i="5"/>
  <c r="J36" i="5"/>
  <c r="J41" i="5"/>
  <c r="J29" i="5"/>
  <c r="J22" i="5"/>
  <c r="J17" i="5"/>
  <c r="J15" i="5"/>
  <c r="J13" i="5"/>
  <c r="J11" i="5"/>
  <c r="J9" i="5"/>
  <c r="J25" i="5"/>
  <c r="J14" i="5"/>
  <c r="J8" i="5"/>
  <c r="J7" i="5"/>
  <c r="J19" i="5" s="1"/>
  <c r="J23" i="5"/>
  <c r="J16" i="5"/>
  <c r="K5" i="5"/>
  <c r="J10" i="5"/>
  <c r="J12" i="5"/>
  <c r="J27" i="5"/>
  <c r="I47" i="5"/>
  <c r="H32" i="3"/>
  <c r="G31" i="8" s="1"/>
  <c r="L35" i="6"/>
  <c r="M35" i="6"/>
  <c r="C36" i="6"/>
  <c r="I38" i="3"/>
  <c r="H32" i="8" s="1"/>
  <c r="J37" i="3"/>
  <c r="K46" i="4"/>
  <c r="I6" i="8"/>
  <c r="L7" i="4" a="1"/>
  <c r="L7" i="4" s="1"/>
  <c r="L14" i="4" s="1"/>
  <c r="L20" i="4" s="1"/>
  <c r="L8" i="4" a="1"/>
  <c r="L8" i="4" s="1"/>
  <c r="L15" i="4" s="1"/>
  <c r="L21" i="4" s="1"/>
  <c r="J61" i="8" s="1"/>
  <c r="L9" i="4" a="1"/>
  <c r="L9" i="4" s="1"/>
  <c r="L16" i="4" s="1"/>
  <c r="L22" i="4" s="1"/>
  <c r="J62" i="8" s="1"/>
  <c r="L6" i="4" a="1"/>
  <c r="L6" i="4" s="1"/>
  <c r="L13" i="4" s="1"/>
  <c r="L19" i="4" s="1"/>
  <c r="L5" i="4" a="1"/>
  <c r="L5" i="4" s="1"/>
  <c r="L12" i="4" s="1"/>
  <c r="J4" i="8" s="1"/>
  <c r="J15" i="3"/>
  <c r="I25" i="3"/>
  <c r="I32" i="3" s="1"/>
  <c r="H31" i="8" s="1"/>
  <c r="I61" i="5"/>
  <c r="I33" i="5"/>
  <c r="M20" i="6"/>
  <c r="L20" i="6"/>
  <c r="N20" i="6"/>
  <c r="J23" i="8" l="1"/>
  <c r="K23" i="8" s="1"/>
  <c r="J38" i="7"/>
  <c r="M16" i="4"/>
  <c r="M15" i="4"/>
  <c r="J26" i="7"/>
  <c r="M14" i="4"/>
  <c r="J14" i="7"/>
  <c r="J32" i="7"/>
  <c r="I62" i="8"/>
  <c r="I24" i="8"/>
  <c r="J24" i="8"/>
  <c r="M12" i="4"/>
  <c r="J35" i="7"/>
  <c r="K19" i="4"/>
  <c r="B13" i="6" s="1" a="1"/>
  <c r="I20" i="7"/>
  <c r="J20" i="7"/>
  <c r="M13" i="4"/>
  <c r="I5" i="8"/>
  <c r="L46" i="4"/>
  <c r="B29" i="6" a="1"/>
  <c r="B36" i="6" s="1"/>
  <c r="F36" i="6" s="1"/>
  <c r="G36" i="6" s="1"/>
  <c r="O36" i="6" s="1"/>
  <c r="L61" i="4"/>
  <c r="K74" i="5"/>
  <c r="K73" i="5"/>
  <c r="K72" i="5"/>
  <c r="K71" i="5"/>
  <c r="K66" i="5"/>
  <c r="K69" i="5"/>
  <c r="K65" i="5"/>
  <c r="K63" i="5"/>
  <c r="K70" i="5"/>
  <c r="K67" i="5"/>
  <c r="K64" i="5"/>
  <c r="K58" i="5"/>
  <c r="K68" i="5"/>
  <c r="K57" i="5"/>
  <c r="K54" i="5"/>
  <c r="K59" i="5"/>
  <c r="K53" i="5"/>
  <c r="K52" i="5"/>
  <c r="K51" i="5"/>
  <c r="K46" i="5"/>
  <c r="K49" i="5"/>
  <c r="K56" i="5"/>
  <c r="K50" i="5"/>
  <c r="K44" i="5"/>
  <c r="K42" i="5"/>
  <c r="K60" i="5"/>
  <c r="K43" i="5"/>
  <c r="K40" i="5"/>
  <c r="K39" i="5"/>
  <c r="K38" i="5"/>
  <c r="K37" i="5"/>
  <c r="K36" i="5"/>
  <c r="K35" i="5"/>
  <c r="K55" i="5"/>
  <c r="K32" i="5"/>
  <c r="K30" i="5"/>
  <c r="K29" i="5"/>
  <c r="K28" i="5"/>
  <c r="K27" i="5"/>
  <c r="K26" i="5"/>
  <c r="K24" i="5"/>
  <c r="K45" i="5"/>
  <c r="K41" i="5"/>
  <c r="K22" i="5"/>
  <c r="K31" i="5"/>
  <c r="K21" i="5"/>
  <c r="K18" i="5"/>
  <c r="K17" i="5"/>
  <c r="K15" i="5"/>
  <c r="K13" i="5"/>
  <c r="K11" i="5"/>
  <c r="K9" i="5"/>
  <c r="K8" i="5"/>
  <c r="K7" i="5"/>
  <c r="K12" i="5"/>
  <c r="K23" i="5"/>
  <c r="K16" i="5"/>
  <c r="L5" i="5"/>
  <c r="K10" i="5"/>
  <c r="K25" i="5"/>
  <c r="K14" i="5"/>
  <c r="J5" i="8"/>
  <c r="L60" i="4"/>
  <c r="K62" i="4"/>
  <c r="K63" i="4" s="1"/>
  <c r="I30" i="8" s="1"/>
  <c r="I37" i="8" s="1"/>
  <c r="I53" i="8" s="1"/>
  <c r="J25" i="3"/>
  <c r="J32" i="3" s="1"/>
  <c r="I31" i="8" s="1"/>
  <c r="K15" i="3"/>
  <c r="K25" i="3" s="1"/>
  <c r="K32" i="3" s="1"/>
  <c r="J31" i="8" s="1"/>
  <c r="K31" i="8" s="1"/>
  <c r="J38" i="3"/>
  <c r="I32" i="8" s="1"/>
  <c r="K37" i="3"/>
  <c r="K38" i="3" s="1"/>
  <c r="J32" i="8" s="1"/>
  <c r="J17" i="7"/>
  <c r="J7" i="8"/>
  <c r="J29" i="3"/>
  <c r="K19" i="3"/>
  <c r="K29" i="3" s="1"/>
  <c r="J8" i="8"/>
  <c r="J33" i="5"/>
  <c r="N44" i="6"/>
  <c r="K44" i="6"/>
  <c r="J44" i="6"/>
  <c r="M44" i="6"/>
  <c r="L44" i="6"/>
  <c r="H44" i="6"/>
  <c r="I44" i="6"/>
  <c r="J29" i="7"/>
  <c r="N36" i="6"/>
  <c r="M36" i="6"/>
  <c r="L36" i="6"/>
  <c r="I11" i="7"/>
  <c r="L45" i="4"/>
  <c r="J11" i="7" s="1"/>
  <c r="J60" i="8"/>
  <c r="B21" i="6" a="1"/>
  <c r="N11" i="6"/>
  <c r="M11" i="6"/>
  <c r="L11" i="6"/>
  <c r="O11" i="6"/>
  <c r="C12" i="6"/>
  <c r="B30" i="6"/>
  <c r="F30" i="6" s="1"/>
  <c r="G30" i="6" s="1"/>
  <c r="J59" i="8"/>
  <c r="L51" i="4"/>
  <c r="J23" i="7"/>
  <c r="B37" i="6" a="1"/>
  <c r="J6" i="8"/>
  <c r="J61" i="5"/>
  <c r="J75" i="5"/>
  <c r="B31" i="6" l="1"/>
  <c r="F31" i="6" s="1"/>
  <c r="G31" i="6" s="1"/>
  <c r="L62" i="4"/>
  <c r="L63" i="4" s="1"/>
  <c r="J30" i="8" s="1"/>
  <c r="J37" i="8" s="1"/>
  <c r="J53" i="8" s="1"/>
  <c r="K24" i="8"/>
  <c r="B32" i="6"/>
  <c r="F32" i="6" s="1"/>
  <c r="G32" i="6" s="1"/>
  <c r="B33" i="6"/>
  <c r="F33" i="6" s="1"/>
  <c r="G33" i="6" s="1"/>
  <c r="O33" i="6" s="1"/>
  <c r="K30" i="8"/>
  <c r="K37" i="8" s="1"/>
  <c r="I22" i="8"/>
  <c r="J22" i="8"/>
  <c r="I59" i="8"/>
  <c r="I63" i="8" s="1"/>
  <c r="K51" i="4"/>
  <c r="B34" i="6"/>
  <c r="F34" i="6" s="1"/>
  <c r="G34" i="6" s="1"/>
  <c r="O34" i="6" s="1"/>
  <c r="B35" i="6"/>
  <c r="F35" i="6" s="1"/>
  <c r="G35" i="6" s="1"/>
  <c r="B29" i="6"/>
  <c r="F29" i="6" s="1"/>
  <c r="G29" i="6" s="1"/>
  <c r="H29" i="6" s="1"/>
  <c r="J63" i="8"/>
  <c r="O29" i="6"/>
  <c r="M29" i="6"/>
  <c r="K32" i="8"/>
  <c r="K61" i="5"/>
  <c r="L73" i="5"/>
  <c r="L72" i="5"/>
  <c r="L74" i="5"/>
  <c r="L71" i="5"/>
  <c r="L66" i="5"/>
  <c r="L68" i="5"/>
  <c r="L65" i="5"/>
  <c r="L63" i="5"/>
  <c r="L70" i="5"/>
  <c r="L67" i="5"/>
  <c r="L69" i="5"/>
  <c r="L64" i="5"/>
  <c r="L58" i="5"/>
  <c r="L57" i="5"/>
  <c r="L54" i="5"/>
  <c r="L52" i="5"/>
  <c r="L46" i="5"/>
  <c r="L49" i="5"/>
  <c r="L55" i="5"/>
  <c r="L45" i="5"/>
  <c r="L44" i="5"/>
  <c r="L43" i="5"/>
  <c r="L42" i="5"/>
  <c r="L60" i="5"/>
  <c r="L59" i="5"/>
  <c r="L40" i="5"/>
  <c r="L39" i="5"/>
  <c r="L38" i="5"/>
  <c r="L37" i="5"/>
  <c r="L36" i="5"/>
  <c r="L35" i="5"/>
  <c r="L56" i="5"/>
  <c r="L53" i="5"/>
  <c r="L51" i="5"/>
  <c r="L50" i="5"/>
  <c r="L30" i="5"/>
  <c r="L29" i="5"/>
  <c r="L28" i="5"/>
  <c r="L27" i="5"/>
  <c r="L26" i="5"/>
  <c r="L32" i="5"/>
  <c r="L41" i="5"/>
  <c r="L22" i="5"/>
  <c r="L25" i="5"/>
  <c r="L24" i="5"/>
  <c r="L21" i="5"/>
  <c r="L8" i="5"/>
  <c r="L23" i="5"/>
  <c r="L31" i="5"/>
  <c r="L17" i="5"/>
  <c r="L15" i="5"/>
  <c r="L13" i="5"/>
  <c r="L11" i="5"/>
  <c r="L9" i="5"/>
  <c r="L18" i="5"/>
  <c r="L16" i="5"/>
  <c r="M5" i="5"/>
  <c r="L12" i="5"/>
  <c r="L14" i="5"/>
  <c r="L10" i="5"/>
  <c r="L7" i="5"/>
  <c r="N12" i="6"/>
  <c r="M12" i="6"/>
  <c r="L12" i="6"/>
  <c r="O12" i="6"/>
  <c r="K75" i="5"/>
  <c r="K30" i="6"/>
  <c r="I30" i="6"/>
  <c r="M30" i="6"/>
  <c r="N30" i="6"/>
  <c r="L30" i="6"/>
  <c r="O30" i="6"/>
  <c r="J30" i="6"/>
  <c r="M31" i="6"/>
  <c r="L31" i="6"/>
  <c r="K31" i="6"/>
  <c r="J31" i="6"/>
  <c r="O31" i="6"/>
  <c r="N31" i="6"/>
  <c r="M32" i="6"/>
  <c r="L32" i="6"/>
  <c r="N32" i="6"/>
  <c r="O32" i="6"/>
  <c r="K32" i="6"/>
  <c r="K47" i="5"/>
  <c r="B39" i="6"/>
  <c r="F39" i="6" s="1"/>
  <c r="G39" i="6" s="1"/>
  <c r="B38" i="6"/>
  <c r="F38" i="6" s="1"/>
  <c r="G38" i="6" s="1"/>
  <c r="B44" i="6"/>
  <c r="F44" i="6" s="1"/>
  <c r="G44" i="6" s="1"/>
  <c r="O44" i="6" s="1"/>
  <c r="B43" i="6"/>
  <c r="F43" i="6" s="1"/>
  <c r="G43" i="6" s="1"/>
  <c r="B42" i="6"/>
  <c r="F42" i="6" s="1"/>
  <c r="G42" i="6" s="1"/>
  <c r="B37" i="6"/>
  <c r="F37" i="6" s="1"/>
  <c r="G37" i="6" s="1"/>
  <c r="B41" i="6"/>
  <c r="F41" i="6" s="1"/>
  <c r="G41" i="6" s="1"/>
  <c r="B40" i="6"/>
  <c r="F40" i="6" s="1"/>
  <c r="G40" i="6" s="1"/>
  <c r="N33" i="6"/>
  <c r="B14" i="6"/>
  <c r="F14" i="6" s="1"/>
  <c r="G14" i="6" s="1"/>
  <c r="B20" i="6"/>
  <c r="F20" i="6" s="1"/>
  <c r="G20" i="6" s="1"/>
  <c r="O20" i="6" s="1"/>
  <c r="B19" i="6"/>
  <c r="F19" i="6" s="1"/>
  <c r="G19" i="6" s="1"/>
  <c r="B18" i="6"/>
  <c r="F18" i="6" s="1"/>
  <c r="G18" i="6" s="1"/>
  <c r="B17" i="6"/>
  <c r="F17" i="6" s="1"/>
  <c r="G17" i="6" s="1"/>
  <c r="B16" i="6"/>
  <c r="F16" i="6" s="1"/>
  <c r="G16" i="6" s="1"/>
  <c r="B15" i="6"/>
  <c r="F15" i="6" s="1"/>
  <c r="G15" i="6" s="1"/>
  <c r="B13" i="6"/>
  <c r="N35" i="6"/>
  <c r="O35" i="6"/>
  <c r="B25" i="6"/>
  <c r="F25" i="6" s="1"/>
  <c r="G25" i="6" s="1"/>
  <c r="B24" i="6"/>
  <c r="F24" i="6" s="1"/>
  <c r="G24" i="6" s="1"/>
  <c r="B28" i="6"/>
  <c r="F28" i="6" s="1"/>
  <c r="G28" i="6" s="1"/>
  <c r="O28" i="6" s="1"/>
  <c r="B27" i="6"/>
  <c r="F27" i="6" s="1"/>
  <c r="G27" i="6" s="1"/>
  <c r="B21" i="6"/>
  <c r="F21" i="6" s="1"/>
  <c r="G21" i="6" s="1"/>
  <c r="B26" i="6"/>
  <c r="F26" i="6" s="1"/>
  <c r="G26" i="6" s="1"/>
  <c r="B23" i="6"/>
  <c r="F23" i="6" s="1"/>
  <c r="G23" i="6" s="1"/>
  <c r="B22" i="6"/>
  <c r="F22" i="6" s="1"/>
  <c r="G22" i="6" s="1"/>
  <c r="K19" i="5"/>
  <c r="K33" i="5"/>
  <c r="N29" i="6" l="1"/>
  <c r="M33" i="6"/>
  <c r="L33" i="6"/>
  <c r="L29" i="6"/>
  <c r="K29" i="6"/>
  <c r="J29" i="6"/>
  <c r="O49" i="6"/>
  <c r="N34" i="6"/>
  <c r="I29" i="6"/>
  <c r="M34" i="6"/>
  <c r="K22" i="8"/>
  <c r="O15" i="6"/>
  <c r="N15" i="6"/>
  <c r="L15" i="6"/>
  <c r="K15" i="6"/>
  <c r="J15" i="6"/>
  <c r="M15" i="6"/>
  <c r="O37" i="6"/>
  <c r="N37" i="6"/>
  <c r="K37" i="6"/>
  <c r="M37" i="6"/>
  <c r="L37" i="6"/>
  <c r="J37" i="6"/>
  <c r="H37" i="6"/>
  <c r="I37" i="6"/>
  <c r="O27" i="6"/>
  <c r="N27" i="6"/>
  <c r="N16" i="6"/>
  <c r="M16" i="6"/>
  <c r="O16" i="6"/>
  <c r="L16" i="6"/>
  <c r="K16" i="6"/>
  <c r="N42" i="6"/>
  <c r="M42" i="6"/>
  <c r="O42" i="6"/>
  <c r="O24" i="6"/>
  <c r="L24" i="6"/>
  <c r="N24" i="6"/>
  <c r="M24" i="6"/>
  <c r="K24" i="6"/>
  <c r="O43" i="6"/>
  <c r="N43" i="6"/>
  <c r="L61" i="5"/>
  <c r="L22" i="6"/>
  <c r="J22" i="6"/>
  <c r="K22" i="6"/>
  <c r="N22" i="6"/>
  <c r="I22" i="6"/>
  <c r="O22" i="6"/>
  <c r="M22" i="6"/>
  <c r="L75" i="5"/>
  <c r="O17" i="6"/>
  <c r="N17" i="6"/>
  <c r="M17" i="6"/>
  <c r="L17" i="6"/>
  <c r="O25" i="6"/>
  <c r="M25" i="6"/>
  <c r="L25" i="6"/>
  <c r="N25" i="6"/>
  <c r="M18" i="6"/>
  <c r="N18" i="6"/>
  <c r="O18" i="6"/>
  <c r="M73" i="5"/>
  <c r="M72" i="5"/>
  <c r="M71" i="5"/>
  <c r="M70" i="5"/>
  <c r="M74" i="5"/>
  <c r="M68" i="5"/>
  <c r="M67" i="5"/>
  <c r="M63" i="5"/>
  <c r="M66" i="5"/>
  <c r="M64" i="5"/>
  <c r="M58" i="5"/>
  <c r="M59" i="5"/>
  <c r="M57" i="5"/>
  <c r="M56" i="5"/>
  <c r="M69" i="5"/>
  <c r="M65" i="5"/>
  <c r="M60" i="5"/>
  <c r="M55" i="5"/>
  <c r="M54" i="5"/>
  <c r="M49" i="5"/>
  <c r="M45" i="5"/>
  <c r="M44" i="5"/>
  <c r="M43" i="5"/>
  <c r="M42" i="5"/>
  <c r="M41" i="5"/>
  <c r="M53" i="5"/>
  <c r="M52" i="5"/>
  <c r="M46" i="5"/>
  <c r="M40" i="5"/>
  <c r="M39" i="5"/>
  <c r="M38" i="5"/>
  <c r="M37" i="5"/>
  <c r="M36" i="5"/>
  <c r="M35" i="5"/>
  <c r="M51" i="5"/>
  <c r="M50" i="5"/>
  <c r="M30" i="5"/>
  <c r="M29" i="5"/>
  <c r="M28" i="5"/>
  <c r="M27" i="5"/>
  <c r="M26" i="5"/>
  <c r="M25" i="5"/>
  <c r="M24" i="5"/>
  <c r="M23" i="5"/>
  <c r="M22" i="5"/>
  <c r="M21" i="5"/>
  <c r="M17" i="5"/>
  <c r="M16" i="5"/>
  <c r="M15" i="5"/>
  <c r="M14" i="5"/>
  <c r="M13" i="5"/>
  <c r="M12" i="5"/>
  <c r="M11" i="5"/>
  <c r="M10" i="5"/>
  <c r="M32" i="5"/>
  <c r="M8" i="5"/>
  <c r="M7" i="5"/>
  <c r="M31" i="5"/>
  <c r="M9" i="5"/>
  <c r="M18" i="5"/>
  <c r="N5" i="5"/>
  <c r="L47" i="5"/>
  <c r="N19" i="6"/>
  <c r="O19" i="6"/>
  <c r="N26" i="6"/>
  <c r="M26" i="6"/>
  <c r="O26" i="6"/>
  <c r="K14" i="6"/>
  <c r="M14" i="6"/>
  <c r="L14" i="6"/>
  <c r="I14" i="6"/>
  <c r="O14" i="6"/>
  <c r="N14" i="6"/>
  <c r="J14" i="6"/>
  <c r="L33" i="5"/>
  <c r="N38" i="6"/>
  <c r="I38" i="6"/>
  <c r="O38" i="6"/>
  <c r="J38" i="6"/>
  <c r="L38" i="6"/>
  <c r="K38" i="6"/>
  <c r="M38" i="6"/>
  <c r="L23" i="6"/>
  <c r="K23" i="6"/>
  <c r="M23" i="6"/>
  <c r="N23" i="6"/>
  <c r="O23" i="6"/>
  <c r="J23" i="6"/>
  <c r="M39" i="6"/>
  <c r="L39" i="6"/>
  <c r="K39" i="6"/>
  <c r="J39" i="6"/>
  <c r="O39" i="6"/>
  <c r="N39" i="6"/>
  <c r="N40" i="6"/>
  <c r="M40" i="6"/>
  <c r="K40" i="6"/>
  <c r="L40" i="6"/>
  <c r="O40" i="6"/>
  <c r="H21" i="6"/>
  <c r="J21" i="6"/>
  <c r="I21" i="6"/>
  <c r="K21" i="6"/>
  <c r="M21" i="6"/>
  <c r="O21" i="6"/>
  <c r="L21" i="6"/>
  <c r="N21" i="6"/>
  <c r="F13" i="6"/>
  <c r="G13" i="6" s="1"/>
  <c r="L49" i="6"/>
  <c r="K49" i="6"/>
  <c r="I49" i="6"/>
  <c r="M49" i="6"/>
  <c r="H49" i="6"/>
  <c r="N49" i="6"/>
  <c r="J49" i="6"/>
  <c r="L41" i="6"/>
  <c r="O41" i="6"/>
  <c r="N41" i="6"/>
  <c r="M41" i="6"/>
  <c r="L19" i="5"/>
  <c r="M47" i="5" l="1"/>
  <c r="J13" i="6"/>
  <c r="J46" i="6" s="1"/>
  <c r="E20" i="8" s="1"/>
  <c r="I13" i="6"/>
  <c r="I46" i="6" s="1"/>
  <c r="D20" i="8" s="1"/>
  <c r="H13" i="6"/>
  <c r="H46" i="6" s="1"/>
  <c r="M13" i="6"/>
  <c r="M46" i="6" s="1"/>
  <c r="H20" i="8" s="1"/>
  <c r="O13" i="6"/>
  <c r="O46" i="6" s="1"/>
  <c r="J20" i="8" s="1"/>
  <c r="N13" i="6"/>
  <c r="N46" i="6" s="1"/>
  <c r="I20" i="8" s="1"/>
  <c r="K13" i="6"/>
  <c r="K46" i="6" s="1"/>
  <c r="F20" i="8" s="1"/>
  <c r="L13" i="6"/>
  <c r="L46" i="6" s="1"/>
  <c r="G20" i="8" s="1"/>
  <c r="N72" i="5"/>
  <c r="N73" i="5"/>
  <c r="N69" i="5"/>
  <c r="N68" i="5"/>
  <c r="N67" i="5"/>
  <c r="N70" i="5"/>
  <c r="N66" i="5"/>
  <c r="N74" i="5"/>
  <c r="N59" i="5"/>
  <c r="N57" i="5"/>
  <c r="N56" i="5"/>
  <c r="N71" i="5"/>
  <c r="N64" i="5"/>
  <c r="N58" i="5"/>
  <c r="N65" i="5"/>
  <c r="N63" i="5"/>
  <c r="N60" i="5"/>
  <c r="N55" i="5"/>
  <c r="N45" i="5"/>
  <c r="N44" i="5"/>
  <c r="N43" i="5"/>
  <c r="N42" i="5"/>
  <c r="N41" i="5"/>
  <c r="N40" i="5"/>
  <c r="N54" i="5"/>
  <c r="N53" i="5"/>
  <c r="N50" i="5"/>
  <c r="N49" i="5"/>
  <c r="N46" i="5"/>
  <c r="N51" i="5"/>
  <c r="N52" i="5"/>
  <c r="N39" i="5"/>
  <c r="N38" i="5"/>
  <c r="N37" i="5"/>
  <c r="N36" i="5"/>
  <c r="N31" i="5"/>
  <c r="N35" i="5"/>
  <c r="N47" i="5" s="1"/>
  <c r="N30" i="5"/>
  <c r="N29" i="5"/>
  <c r="N28" i="5"/>
  <c r="N27" i="5"/>
  <c r="N26" i="5"/>
  <c r="N22" i="5"/>
  <c r="O5" i="5"/>
  <c r="N25" i="5"/>
  <c r="N17" i="5"/>
  <c r="N16" i="5"/>
  <c r="N15" i="5"/>
  <c r="N14" i="5"/>
  <c r="N13" i="5"/>
  <c r="N12" i="5"/>
  <c r="N11" i="5"/>
  <c r="N10" i="5"/>
  <c r="N23" i="5"/>
  <c r="N7" i="5"/>
  <c r="N32" i="5"/>
  <c r="N21" i="5"/>
  <c r="N8" i="5"/>
  <c r="N9" i="5"/>
  <c r="N18" i="5"/>
  <c r="N24" i="5"/>
  <c r="M61" i="5"/>
  <c r="M75" i="5"/>
  <c r="M19" i="5"/>
  <c r="M33" i="5"/>
  <c r="H25" i="8" l="1"/>
  <c r="H55" i="8"/>
  <c r="J55" i="8"/>
  <c r="J25" i="8"/>
  <c r="G25" i="8"/>
  <c r="G55" i="8"/>
  <c r="N61" i="5"/>
  <c r="I25" i="8"/>
  <c r="I55" i="8"/>
  <c r="O74" i="5"/>
  <c r="O73" i="5"/>
  <c r="O69" i="5"/>
  <c r="O68" i="5"/>
  <c r="O70" i="5"/>
  <c r="O72" i="5"/>
  <c r="O67" i="5"/>
  <c r="O65" i="5"/>
  <c r="O66" i="5"/>
  <c r="O64" i="5"/>
  <c r="O60" i="5"/>
  <c r="O59" i="5"/>
  <c r="O57" i="5"/>
  <c r="O56" i="5"/>
  <c r="O55" i="5"/>
  <c r="O54" i="5"/>
  <c r="O71" i="5"/>
  <c r="O46" i="5"/>
  <c r="O63" i="5"/>
  <c r="O53" i="5"/>
  <c r="O50" i="5"/>
  <c r="O51" i="5"/>
  <c r="O45" i="5"/>
  <c r="O44" i="5"/>
  <c r="O42" i="5"/>
  <c r="O43" i="5"/>
  <c r="O41" i="5"/>
  <c r="O58" i="5"/>
  <c r="O52" i="5"/>
  <c r="O40" i="5"/>
  <c r="O31" i="5"/>
  <c r="O38" i="5"/>
  <c r="O36" i="5"/>
  <c r="O25" i="5"/>
  <c r="O17" i="5"/>
  <c r="O16" i="5"/>
  <c r="O15" i="5"/>
  <c r="O14" i="5"/>
  <c r="O13" i="5"/>
  <c r="O12" i="5"/>
  <c r="O11" i="5"/>
  <c r="O10" i="5"/>
  <c r="O9" i="5"/>
  <c r="O8" i="5"/>
  <c r="O7" i="5"/>
  <c r="O28" i="5"/>
  <c r="O26" i="5"/>
  <c r="O37" i="5"/>
  <c r="O23" i="5"/>
  <c r="O35" i="5"/>
  <c r="O22" i="5"/>
  <c r="P5" i="5"/>
  <c r="O29" i="5"/>
  <c r="O30" i="5"/>
  <c r="O24" i="5"/>
  <c r="O18" i="5"/>
  <c r="O32" i="5"/>
  <c r="O49" i="5"/>
  <c r="O39" i="5"/>
  <c r="O21" i="5"/>
  <c r="O27" i="5"/>
  <c r="N33" i="5"/>
  <c r="E25" i="8"/>
  <c r="E55" i="8"/>
  <c r="C20" i="8"/>
  <c r="N50" i="6"/>
  <c r="N51" i="6" s="1"/>
  <c r="J50" i="6"/>
  <c r="J51" i="6" s="1"/>
  <c r="H50" i="6"/>
  <c r="H51" i="6" s="1"/>
  <c r="O50" i="6"/>
  <c r="O51" i="6" s="1"/>
  <c r="M50" i="6"/>
  <c r="M51" i="6" s="1"/>
  <c r="L50" i="6"/>
  <c r="L51" i="6" s="1"/>
  <c r="K50" i="6"/>
  <c r="K51" i="6" s="1"/>
  <c r="I50" i="6"/>
  <c r="I51" i="6" s="1"/>
  <c r="D25" i="8"/>
  <c r="D55" i="8"/>
  <c r="N75" i="5"/>
  <c r="N19" i="5"/>
  <c r="F25" i="8"/>
  <c r="F55" i="8"/>
  <c r="E52" i="8" l="1"/>
  <c r="E26" i="8"/>
  <c r="I52" i="8"/>
  <c r="I26" i="8"/>
  <c r="O33" i="5"/>
  <c r="D52" i="8"/>
  <c r="D26" i="8"/>
  <c r="O47" i="5"/>
  <c r="F52" i="8"/>
  <c r="F26" i="8"/>
  <c r="O19" i="5"/>
  <c r="P69" i="5"/>
  <c r="P68" i="5"/>
  <c r="P67" i="5"/>
  <c r="P66" i="5"/>
  <c r="P70" i="5"/>
  <c r="P71" i="5"/>
  <c r="P72" i="5"/>
  <c r="P73" i="5"/>
  <c r="P65" i="5"/>
  <c r="P64" i="5"/>
  <c r="P60" i="5"/>
  <c r="P74" i="5"/>
  <c r="P59" i="5"/>
  <c r="P57" i="5"/>
  <c r="P55" i="5"/>
  <c r="P56" i="5"/>
  <c r="P53" i="5"/>
  <c r="P52" i="5"/>
  <c r="P51" i="5"/>
  <c r="P54" i="5"/>
  <c r="P50" i="5"/>
  <c r="P44" i="5"/>
  <c r="P43" i="5"/>
  <c r="P46" i="5"/>
  <c r="P41" i="5"/>
  <c r="P58" i="5"/>
  <c r="P63" i="5"/>
  <c r="P42" i="5"/>
  <c r="P31" i="5"/>
  <c r="P38" i="5"/>
  <c r="P36" i="5"/>
  <c r="P49" i="5"/>
  <c r="P45" i="5"/>
  <c r="P28" i="5"/>
  <c r="P26" i="5"/>
  <c r="P37" i="5"/>
  <c r="P23" i="5"/>
  <c r="P18" i="5"/>
  <c r="P25" i="5"/>
  <c r="P17" i="5"/>
  <c r="P16" i="5"/>
  <c r="P15" i="5"/>
  <c r="P14" i="5"/>
  <c r="P13" i="5"/>
  <c r="P12" i="5"/>
  <c r="P11" i="5"/>
  <c r="P10" i="5"/>
  <c r="P9" i="5"/>
  <c r="P8" i="5"/>
  <c r="P7" i="5"/>
  <c r="P35" i="5"/>
  <c r="P22" i="5"/>
  <c r="P30" i="5"/>
  <c r="P24" i="5"/>
  <c r="P32" i="5"/>
  <c r="Q5" i="5"/>
  <c r="P27" i="5"/>
  <c r="P39" i="5"/>
  <c r="P40" i="5"/>
  <c r="P29" i="5"/>
  <c r="P21" i="5"/>
  <c r="O61" i="5"/>
  <c r="C55" i="8"/>
  <c r="K20" i="8"/>
  <c r="K25" i="8" s="1"/>
  <c r="K26" i="8" s="1"/>
  <c r="C25" i="8"/>
  <c r="G52" i="8"/>
  <c r="G26" i="8"/>
  <c r="O75" i="5"/>
  <c r="J52" i="8"/>
  <c r="J26" i="8"/>
  <c r="H52" i="8"/>
  <c r="H26" i="8"/>
  <c r="G40" i="8" l="1"/>
  <c r="G38" i="8"/>
  <c r="G39" i="8" s="1"/>
  <c r="G27" i="8"/>
  <c r="P33" i="5"/>
  <c r="C52" i="8"/>
  <c r="C26" i="8"/>
  <c r="K40" i="8"/>
  <c r="K38" i="8"/>
  <c r="K39" i="8" s="1"/>
  <c r="K27" i="8"/>
  <c r="P61" i="5"/>
  <c r="P47" i="5"/>
  <c r="I40" i="8"/>
  <c r="I38" i="8"/>
  <c r="I39" i="8" s="1"/>
  <c r="I27" i="8"/>
  <c r="Q74" i="5"/>
  <c r="Q70" i="5"/>
  <c r="Q71" i="5"/>
  <c r="Q73" i="5"/>
  <c r="Q68" i="5"/>
  <c r="Q65" i="5"/>
  <c r="Q64" i="5"/>
  <c r="Q72" i="5"/>
  <c r="Q67" i="5"/>
  <c r="Q60" i="5"/>
  <c r="Q59" i="5"/>
  <c r="Q58" i="5"/>
  <c r="Q66" i="5"/>
  <c r="Q69" i="5"/>
  <c r="Q56" i="5"/>
  <c r="Q53" i="5"/>
  <c r="Q52" i="5"/>
  <c r="Q51" i="5"/>
  <c r="Q50" i="5"/>
  <c r="Q57" i="5"/>
  <c r="Q55" i="5"/>
  <c r="Q54" i="5"/>
  <c r="Q46" i="5"/>
  <c r="Q41" i="5"/>
  <c r="Q63" i="5"/>
  <c r="Q44" i="5"/>
  <c r="Q43" i="5"/>
  <c r="Q38" i="5"/>
  <c r="Q36" i="5"/>
  <c r="Q49" i="5"/>
  <c r="Q32" i="5"/>
  <c r="Q31" i="5"/>
  <c r="Q37" i="5"/>
  <c r="Q23" i="5"/>
  <c r="Q18" i="5"/>
  <c r="Q30" i="5"/>
  <c r="Q21" i="5"/>
  <c r="Q45" i="5"/>
  <c r="Q28" i="5"/>
  <c r="Q26" i="5"/>
  <c r="Q24" i="5"/>
  <c r="Q7" i="5"/>
  <c r="R5" i="5"/>
  <c r="Q16" i="5"/>
  <c r="Q14" i="5"/>
  <c r="Q12" i="5"/>
  <c r="Q10" i="5"/>
  <c r="Q27" i="5"/>
  <c r="Q39" i="5"/>
  <c r="Q40" i="5"/>
  <c r="Q42" i="5"/>
  <c r="Q35" i="5"/>
  <c r="Q22" i="5"/>
  <c r="Q29" i="5"/>
  <c r="Q11" i="5"/>
  <c r="Q15" i="5"/>
  <c r="Q9" i="5"/>
  <c r="Q8" i="5"/>
  <c r="Q17" i="5"/>
  <c r="Q25" i="5"/>
  <c r="Q13" i="5"/>
  <c r="F38" i="8"/>
  <c r="F39" i="8" s="1"/>
  <c r="F40" i="8"/>
  <c r="F27" i="8"/>
  <c r="E38" i="8"/>
  <c r="E39" i="8" s="1"/>
  <c r="E40" i="8"/>
  <c r="E27" i="8"/>
  <c r="D40" i="8"/>
  <c r="D38" i="8"/>
  <c r="D39" i="8" s="1"/>
  <c r="D27" i="8"/>
  <c r="P75" i="5"/>
  <c r="P19" i="5"/>
  <c r="H40" i="8"/>
  <c r="H38" i="8"/>
  <c r="H39" i="8" s="1"/>
  <c r="H27" i="8"/>
  <c r="J40" i="8"/>
  <c r="J38" i="8"/>
  <c r="J39" i="8" s="1"/>
  <c r="J27" i="8"/>
  <c r="E45" i="8" l="1"/>
  <c r="E54" i="8" s="1"/>
  <c r="E56" i="8" s="1"/>
  <c r="E70" i="8" s="1"/>
  <c r="E41" i="8"/>
  <c r="Q19" i="5"/>
  <c r="C40" i="8"/>
  <c r="C38" i="8"/>
  <c r="C39" i="8" s="1"/>
  <c r="C27" i="8"/>
  <c r="Q75" i="5"/>
  <c r="Q33" i="5"/>
  <c r="Q47" i="5"/>
  <c r="H45" i="8"/>
  <c r="H54" i="8" s="1"/>
  <c r="H56" i="8" s="1"/>
  <c r="H70" i="8" s="1"/>
  <c r="H41" i="8"/>
  <c r="K41" i="8"/>
  <c r="F45" i="8"/>
  <c r="F54" i="8" s="1"/>
  <c r="F56" i="8" s="1"/>
  <c r="F70" i="8" s="1"/>
  <c r="F41" i="8"/>
  <c r="Q61" i="5"/>
  <c r="I45" i="8"/>
  <c r="I54" i="8" s="1"/>
  <c r="I56" i="8" s="1"/>
  <c r="I70" i="8" s="1"/>
  <c r="I41" i="8"/>
  <c r="J45" i="8"/>
  <c r="J54" i="8" s="1"/>
  <c r="J56" i="8" s="1"/>
  <c r="J70" i="8" s="1"/>
  <c r="J41" i="8"/>
  <c r="D45" i="8"/>
  <c r="D54" i="8" s="1"/>
  <c r="D56" i="8" s="1"/>
  <c r="D70" i="8" s="1"/>
  <c r="D41" i="8"/>
  <c r="R74" i="5"/>
  <c r="R71" i="5"/>
  <c r="R73" i="5"/>
  <c r="R68" i="5"/>
  <c r="R70" i="5"/>
  <c r="R60" i="5"/>
  <c r="R67" i="5"/>
  <c r="R64" i="5"/>
  <c r="R63" i="5"/>
  <c r="R66" i="5"/>
  <c r="R56" i="5"/>
  <c r="R53" i="5"/>
  <c r="R52" i="5"/>
  <c r="R51" i="5"/>
  <c r="R50" i="5"/>
  <c r="R49" i="5"/>
  <c r="R61" i="5" s="1"/>
  <c r="R72" i="5"/>
  <c r="R69" i="5"/>
  <c r="R65" i="5"/>
  <c r="R55" i="5"/>
  <c r="R59" i="5"/>
  <c r="R58" i="5"/>
  <c r="R32" i="5"/>
  <c r="R31" i="5"/>
  <c r="R30" i="5"/>
  <c r="R45" i="5"/>
  <c r="R57" i="5"/>
  <c r="R54" i="5"/>
  <c r="R46" i="5"/>
  <c r="R41" i="5"/>
  <c r="R43" i="5"/>
  <c r="R18" i="5"/>
  <c r="R38" i="5"/>
  <c r="R36" i="5"/>
  <c r="R21" i="5"/>
  <c r="R39" i="5"/>
  <c r="R29" i="5"/>
  <c r="R27" i="5"/>
  <c r="R24" i="5"/>
  <c r="R37" i="5"/>
  <c r="R23" i="5"/>
  <c r="S5" i="5"/>
  <c r="R16" i="5"/>
  <c r="R14" i="5"/>
  <c r="R12" i="5"/>
  <c r="R10" i="5"/>
  <c r="R44" i="5"/>
  <c r="R26" i="5"/>
  <c r="R25" i="5"/>
  <c r="R40" i="5"/>
  <c r="R42" i="5"/>
  <c r="R35" i="5"/>
  <c r="R7" i="5"/>
  <c r="R15" i="5"/>
  <c r="R9" i="5"/>
  <c r="R22" i="5"/>
  <c r="R17" i="5"/>
  <c r="R13" i="5"/>
  <c r="R8" i="5"/>
  <c r="R11" i="5"/>
  <c r="R28" i="5"/>
  <c r="G45" i="8"/>
  <c r="G54" i="8" s="1"/>
  <c r="G56" i="8" s="1"/>
  <c r="G70" i="8" s="1"/>
  <c r="G41" i="8"/>
  <c r="I46" i="8" l="1"/>
  <c r="D46" i="8"/>
  <c r="R75" i="5"/>
  <c r="S74" i="5"/>
  <c r="S73" i="5"/>
  <c r="S72" i="5"/>
  <c r="S71" i="5"/>
  <c r="S70" i="5"/>
  <c r="S69" i="5"/>
  <c r="S66" i="5"/>
  <c r="S67" i="5"/>
  <c r="S64" i="5"/>
  <c r="S63" i="5"/>
  <c r="S68" i="5"/>
  <c r="S65" i="5"/>
  <c r="S60" i="5"/>
  <c r="S54" i="5"/>
  <c r="S56" i="5"/>
  <c r="S53" i="5"/>
  <c r="S52" i="5"/>
  <c r="S51" i="5"/>
  <c r="S55" i="5"/>
  <c r="S59" i="5"/>
  <c r="S58" i="5"/>
  <c r="S46" i="5"/>
  <c r="S50" i="5"/>
  <c r="S45" i="5"/>
  <c r="S57" i="5"/>
  <c r="S49" i="5"/>
  <c r="S39" i="5"/>
  <c r="S38" i="5"/>
  <c r="S37" i="5"/>
  <c r="S36" i="5"/>
  <c r="S35" i="5"/>
  <c r="S32" i="5"/>
  <c r="S44" i="5"/>
  <c r="S41" i="5"/>
  <c r="S29" i="5"/>
  <c r="S28" i="5"/>
  <c r="S27" i="5"/>
  <c r="S26" i="5"/>
  <c r="S43" i="5"/>
  <c r="S21" i="5"/>
  <c r="S18" i="5"/>
  <c r="S30" i="5"/>
  <c r="S24" i="5"/>
  <c r="S40" i="5"/>
  <c r="S23" i="5"/>
  <c r="S16" i="5"/>
  <c r="S14" i="5"/>
  <c r="S12" i="5"/>
  <c r="S10" i="5"/>
  <c r="S25" i="5"/>
  <c r="S31" i="5"/>
  <c r="S9" i="5"/>
  <c r="S42" i="5"/>
  <c r="T5" i="5"/>
  <c r="S22" i="5"/>
  <c r="S17" i="5"/>
  <c r="S13" i="5"/>
  <c r="S7" i="5"/>
  <c r="S8" i="5"/>
  <c r="S11" i="5"/>
  <c r="S15" i="5"/>
  <c r="G46" i="8"/>
  <c r="H46" i="8"/>
  <c r="C45" i="8"/>
  <c r="C41" i="8"/>
  <c r="R47" i="5"/>
  <c r="F46" i="8"/>
  <c r="R19" i="5"/>
  <c r="R33" i="5"/>
  <c r="J46" i="8"/>
  <c r="E46" i="8"/>
  <c r="S19" i="5" l="1"/>
  <c r="S61" i="5"/>
  <c r="S75" i="5"/>
  <c r="T74" i="5"/>
  <c r="T73" i="5"/>
  <c r="T72" i="5"/>
  <c r="T71" i="5"/>
  <c r="T70" i="5"/>
  <c r="T69" i="5"/>
  <c r="T66" i="5"/>
  <c r="T64" i="5"/>
  <c r="T63" i="5"/>
  <c r="T68" i="5"/>
  <c r="T65" i="5"/>
  <c r="T60" i="5"/>
  <c r="T58" i="5"/>
  <c r="T67" i="5"/>
  <c r="T54" i="5"/>
  <c r="T59" i="5"/>
  <c r="T51" i="5"/>
  <c r="T46" i="5"/>
  <c r="T57" i="5"/>
  <c r="T49" i="5"/>
  <c r="T45" i="5"/>
  <c r="T44" i="5"/>
  <c r="T43" i="5"/>
  <c r="T42" i="5"/>
  <c r="T55" i="5"/>
  <c r="T53" i="5"/>
  <c r="T56" i="5"/>
  <c r="T39" i="5"/>
  <c r="T38" i="5"/>
  <c r="T37" i="5"/>
  <c r="T36" i="5"/>
  <c r="T35" i="5"/>
  <c r="T40" i="5"/>
  <c r="T52" i="5"/>
  <c r="T50" i="5"/>
  <c r="T32" i="5"/>
  <c r="T41" i="5"/>
  <c r="T29" i="5"/>
  <c r="T28" i="5"/>
  <c r="T27" i="5"/>
  <c r="T26" i="5"/>
  <c r="T30" i="5"/>
  <c r="T24" i="5"/>
  <c r="T22" i="5"/>
  <c r="T21" i="5"/>
  <c r="T33" i="5" s="1"/>
  <c r="T18" i="5"/>
  <c r="T25" i="5"/>
  <c r="T31" i="5"/>
  <c r="T9" i="5"/>
  <c r="T23" i="5"/>
  <c r="T16" i="5"/>
  <c r="T14" i="5"/>
  <c r="T12" i="5"/>
  <c r="T10" i="5"/>
  <c r="T17" i="5"/>
  <c r="T7" i="5"/>
  <c r="T8" i="5"/>
  <c r="U5" i="5"/>
  <c r="T11" i="5"/>
  <c r="T13" i="5"/>
  <c r="T15" i="5"/>
  <c r="C54" i="8"/>
  <c r="K45" i="8"/>
  <c r="K46" i="8" s="1"/>
  <c r="S47" i="5"/>
  <c r="C46" i="8"/>
  <c r="S33" i="5"/>
  <c r="C56" i="8" l="1"/>
  <c r="T61" i="5"/>
  <c r="T75" i="5"/>
  <c r="T19" i="5"/>
  <c r="T47" i="5"/>
  <c r="U73" i="5"/>
  <c r="U72" i="5"/>
  <c r="U71" i="5"/>
  <c r="U70" i="5"/>
  <c r="U74" i="5"/>
  <c r="U69" i="5"/>
  <c r="U66" i="5"/>
  <c r="U63" i="5"/>
  <c r="U68" i="5"/>
  <c r="U65" i="5"/>
  <c r="U60" i="5"/>
  <c r="U58" i="5"/>
  <c r="U57" i="5"/>
  <c r="U56" i="5"/>
  <c r="U64" i="5"/>
  <c r="U54" i="5"/>
  <c r="U59" i="5"/>
  <c r="U51" i="5"/>
  <c r="U46" i="5"/>
  <c r="U49" i="5"/>
  <c r="U45" i="5"/>
  <c r="U44" i="5"/>
  <c r="U43" i="5"/>
  <c r="U42" i="5"/>
  <c r="U41" i="5"/>
  <c r="U39" i="5"/>
  <c r="U38" i="5"/>
  <c r="U37" i="5"/>
  <c r="U36" i="5"/>
  <c r="U35" i="5"/>
  <c r="U40" i="5"/>
  <c r="U67" i="5"/>
  <c r="U55" i="5"/>
  <c r="U52" i="5"/>
  <c r="U50" i="5"/>
  <c r="U53" i="5"/>
  <c r="U29" i="5"/>
  <c r="U28" i="5"/>
  <c r="U27" i="5"/>
  <c r="U26" i="5"/>
  <c r="U25" i="5"/>
  <c r="U24" i="5"/>
  <c r="U23" i="5"/>
  <c r="U22" i="5"/>
  <c r="U21" i="5"/>
  <c r="U30" i="5"/>
  <c r="U32" i="5"/>
  <c r="U31" i="5"/>
  <c r="U17" i="5"/>
  <c r="U16" i="5"/>
  <c r="U15" i="5"/>
  <c r="U14" i="5"/>
  <c r="U13" i="5"/>
  <c r="U12" i="5"/>
  <c r="U11" i="5"/>
  <c r="U10" i="5"/>
  <c r="U9" i="5"/>
  <c r="U18" i="5"/>
  <c r="U8" i="5"/>
  <c r="U7" i="5"/>
  <c r="U19" i="5" s="1"/>
  <c r="V5" i="5"/>
  <c r="K70" i="8" l="1"/>
  <c r="C70" i="8"/>
  <c r="C72" i="8" s="1"/>
  <c r="D71" i="8" s="1"/>
  <c r="D72" i="8" s="1"/>
  <c r="E71" i="8" s="1"/>
  <c r="E72" i="8" s="1"/>
  <c r="F71" i="8" s="1"/>
  <c r="F72" i="8" s="1"/>
  <c r="G71" i="8" s="1"/>
  <c r="G72" i="8" s="1"/>
  <c r="H71" i="8" s="1"/>
  <c r="H72" i="8" s="1"/>
  <c r="I71" i="8" s="1"/>
  <c r="I72" i="8" s="1"/>
  <c r="J71" i="8" s="1"/>
  <c r="J72" i="8" s="1"/>
  <c r="U75" i="5"/>
  <c r="U47" i="5"/>
  <c r="U61" i="5"/>
  <c r="V69" i="5"/>
  <c r="V68" i="5"/>
  <c r="V74" i="5"/>
  <c r="V72" i="5"/>
  <c r="V73" i="5"/>
  <c r="V70" i="5"/>
  <c r="V67" i="5"/>
  <c r="V66" i="5"/>
  <c r="V65" i="5"/>
  <c r="V71" i="5"/>
  <c r="V58" i="5"/>
  <c r="V57" i="5"/>
  <c r="V56" i="5"/>
  <c r="V63" i="5"/>
  <c r="V59" i="5"/>
  <c r="V60" i="5"/>
  <c r="V55" i="5"/>
  <c r="V64" i="5"/>
  <c r="V54" i="5"/>
  <c r="V49" i="5"/>
  <c r="V45" i="5"/>
  <c r="V44" i="5"/>
  <c r="V43" i="5"/>
  <c r="V42" i="5"/>
  <c r="V41" i="5"/>
  <c r="V40" i="5"/>
  <c r="V52" i="5"/>
  <c r="V51" i="5"/>
  <c r="V46" i="5"/>
  <c r="V50" i="5"/>
  <c r="V53" i="5"/>
  <c r="V39" i="5"/>
  <c r="V38" i="5"/>
  <c r="V37" i="5"/>
  <c r="V36" i="5"/>
  <c r="V30" i="5"/>
  <c r="V35" i="5"/>
  <c r="V47" i="5" s="1"/>
  <c r="V29" i="5"/>
  <c r="V28" i="5"/>
  <c r="V27" i="5"/>
  <c r="V26" i="5"/>
  <c r="W5" i="5"/>
  <c r="V31" i="5"/>
  <c r="V22" i="5"/>
  <c r="V17" i="5"/>
  <c r="V16" i="5"/>
  <c r="V15" i="5"/>
  <c r="V14" i="5"/>
  <c r="V13" i="5"/>
  <c r="V12" i="5"/>
  <c r="V11" i="5"/>
  <c r="V10" i="5"/>
  <c r="V25" i="5"/>
  <c r="V24" i="5"/>
  <c r="V18" i="5"/>
  <c r="V32" i="5"/>
  <c r="V8" i="5"/>
  <c r="V9" i="5"/>
  <c r="V23" i="5"/>
  <c r="V7" i="5"/>
  <c r="V21" i="5"/>
  <c r="V33" i="5" s="1"/>
  <c r="U33" i="5"/>
  <c r="V61" i="5" l="1"/>
  <c r="W74" i="5"/>
  <c r="W69" i="5"/>
  <c r="W68" i="5"/>
  <c r="W72" i="5"/>
  <c r="W70" i="5"/>
  <c r="W67" i="5"/>
  <c r="W65" i="5"/>
  <c r="W73" i="5"/>
  <c r="W71" i="5"/>
  <c r="W60" i="5"/>
  <c r="W57" i="5"/>
  <c r="W56" i="5"/>
  <c r="W55" i="5"/>
  <c r="W54" i="5"/>
  <c r="W53" i="5"/>
  <c r="W63" i="5"/>
  <c r="W59" i="5"/>
  <c r="W58" i="5"/>
  <c r="W46" i="5"/>
  <c r="W64" i="5"/>
  <c r="W52" i="5"/>
  <c r="W66" i="5"/>
  <c r="W49" i="5"/>
  <c r="W61" i="5" s="1"/>
  <c r="W45" i="5"/>
  <c r="W44" i="5"/>
  <c r="W40" i="5"/>
  <c r="W50" i="5"/>
  <c r="W51" i="5"/>
  <c r="W41" i="5"/>
  <c r="W35" i="5"/>
  <c r="W42" i="5"/>
  <c r="W39" i="5"/>
  <c r="W37" i="5"/>
  <c r="W31" i="5"/>
  <c r="W30" i="5"/>
  <c r="W22" i="5"/>
  <c r="W17" i="5"/>
  <c r="W16" i="5"/>
  <c r="W15" i="5"/>
  <c r="W14" i="5"/>
  <c r="W13" i="5"/>
  <c r="W12" i="5"/>
  <c r="W11" i="5"/>
  <c r="W10" i="5"/>
  <c r="W9" i="5"/>
  <c r="W8" i="5"/>
  <c r="W7" i="5"/>
  <c r="W19" i="5" s="1"/>
  <c r="W38" i="5"/>
  <c r="W29" i="5"/>
  <c r="W27" i="5"/>
  <c r="W25" i="5"/>
  <c r="W32" i="5"/>
  <c r="X5" i="5"/>
  <c r="W36" i="5"/>
  <c r="W26" i="5"/>
  <c r="W43" i="5"/>
  <c r="W28" i="5"/>
  <c r="W24" i="5"/>
  <c r="W18" i="5"/>
  <c r="W21" i="5"/>
  <c r="W23" i="5"/>
  <c r="V19" i="5"/>
  <c r="V75" i="5"/>
  <c r="W47" i="5" l="1"/>
  <c r="X69" i="5"/>
  <c r="X68" i="5"/>
  <c r="X67" i="5"/>
  <c r="X66" i="5"/>
  <c r="X72" i="5"/>
  <c r="X74" i="5"/>
  <c r="X73" i="5"/>
  <c r="X70" i="5"/>
  <c r="X65" i="5"/>
  <c r="X64" i="5"/>
  <c r="X71" i="5"/>
  <c r="X60" i="5"/>
  <c r="X63" i="5"/>
  <c r="X59" i="5"/>
  <c r="X57" i="5"/>
  <c r="X55" i="5"/>
  <c r="X58" i="5"/>
  <c r="X52" i="5"/>
  <c r="X51" i="5"/>
  <c r="X50" i="5"/>
  <c r="X56" i="5"/>
  <c r="X45" i="5"/>
  <c r="X49" i="5"/>
  <c r="X61" i="5" s="1"/>
  <c r="X42" i="5"/>
  <c r="X54" i="5"/>
  <c r="X53" i="5"/>
  <c r="X40" i="5"/>
  <c r="X35" i="5"/>
  <c r="X46" i="5"/>
  <c r="X44" i="5"/>
  <c r="X39" i="5"/>
  <c r="X37" i="5"/>
  <c r="X31" i="5"/>
  <c r="X41" i="5"/>
  <c r="X38" i="5"/>
  <c r="X30" i="5"/>
  <c r="X29" i="5"/>
  <c r="X27" i="5"/>
  <c r="X25" i="5"/>
  <c r="X32" i="5"/>
  <c r="X43" i="5"/>
  <c r="X23" i="5"/>
  <c r="X22" i="5"/>
  <c r="X17" i="5"/>
  <c r="X16" i="5"/>
  <c r="X15" i="5"/>
  <c r="X14" i="5"/>
  <c r="X13" i="5"/>
  <c r="X12" i="5"/>
  <c r="X11" i="5"/>
  <c r="X10" i="5"/>
  <c r="X9" i="5"/>
  <c r="X8" i="5"/>
  <c r="X7" i="5"/>
  <c r="X26" i="5"/>
  <c r="X21" i="5"/>
  <c r="X28" i="5"/>
  <c r="X36" i="5"/>
  <c r="X18" i="5"/>
  <c r="Y5" i="5"/>
  <c r="X24" i="5"/>
  <c r="W33" i="5"/>
  <c r="W75" i="5"/>
  <c r="X19" i="5" l="1"/>
  <c r="X47" i="5"/>
  <c r="X75" i="5"/>
  <c r="Y72" i="5"/>
  <c r="Y74" i="5"/>
  <c r="Y73" i="5"/>
  <c r="Y70" i="5"/>
  <c r="Y71" i="5"/>
  <c r="Y69" i="5"/>
  <c r="Y67" i="5"/>
  <c r="Y65" i="5"/>
  <c r="Y64" i="5"/>
  <c r="Y68" i="5"/>
  <c r="Y60" i="5"/>
  <c r="Y59" i="5"/>
  <c r="Y58" i="5"/>
  <c r="Y63" i="5"/>
  <c r="Y55" i="5"/>
  <c r="Y52" i="5"/>
  <c r="Y51" i="5"/>
  <c r="Y50" i="5"/>
  <c r="Y53" i="5"/>
  <c r="Y66" i="5"/>
  <c r="Y57" i="5"/>
  <c r="Y49" i="5"/>
  <c r="Y42" i="5"/>
  <c r="Y54" i="5"/>
  <c r="Y43" i="5"/>
  <c r="Y41" i="5"/>
  <c r="Y56" i="5"/>
  <c r="Y45" i="5"/>
  <c r="Y46" i="5"/>
  <c r="Y44" i="5"/>
  <c r="Y39" i="5"/>
  <c r="Y37" i="5"/>
  <c r="Y31" i="5"/>
  <c r="Y40" i="5"/>
  <c r="Y35" i="5"/>
  <c r="Y32" i="5"/>
  <c r="Y23" i="5"/>
  <c r="Y18" i="5"/>
  <c r="Y38" i="5"/>
  <c r="Y30" i="5"/>
  <c r="Y29" i="5"/>
  <c r="Y27" i="5"/>
  <c r="Y25" i="5"/>
  <c r="Y8" i="5"/>
  <c r="Y21" i="5"/>
  <c r="Y28" i="5"/>
  <c r="Y17" i="5"/>
  <c r="Y15" i="5"/>
  <c r="Y13" i="5"/>
  <c r="Y11" i="5"/>
  <c r="Y7" i="5"/>
  <c r="Y36" i="5"/>
  <c r="Y26" i="5"/>
  <c r="Y10" i="5"/>
  <c r="Y24" i="5"/>
  <c r="Y14" i="5"/>
  <c r="Y12" i="5"/>
  <c r="Z5" i="5"/>
  <c r="Y22" i="5"/>
  <c r="Y16" i="5"/>
  <c r="Y9" i="5"/>
  <c r="X33" i="5"/>
  <c r="Y19" i="5" l="1"/>
  <c r="Y33" i="5"/>
  <c r="Y47" i="5"/>
  <c r="Z74" i="5"/>
  <c r="Z73" i="5"/>
  <c r="Z70" i="5"/>
  <c r="Z71" i="5"/>
  <c r="Z68" i="5"/>
  <c r="Z69" i="5"/>
  <c r="Z67" i="5"/>
  <c r="Z65" i="5"/>
  <c r="Z60" i="5"/>
  <c r="Z66" i="5"/>
  <c r="Z63" i="5"/>
  <c r="Z59" i="5"/>
  <c r="Z52" i="5"/>
  <c r="Z51" i="5"/>
  <c r="Z50" i="5"/>
  <c r="Z49" i="5"/>
  <c r="Z58" i="5"/>
  <c r="Z53" i="5"/>
  <c r="Z57" i="5"/>
  <c r="Z72" i="5"/>
  <c r="Z55" i="5"/>
  <c r="Z56" i="5"/>
  <c r="Z64" i="5"/>
  <c r="Z42" i="5"/>
  <c r="Z32" i="5"/>
  <c r="Z31" i="5"/>
  <c r="Z30" i="5"/>
  <c r="Z54" i="5"/>
  <c r="Z43" i="5"/>
  <c r="Z41" i="5"/>
  <c r="Z44" i="5"/>
  <c r="Z18" i="5"/>
  <c r="Z40" i="5"/>
  <c r="Z46" i="5"/>
  <c r="Z39" i="5"/>
  <c r="Z37" i="5"/>
  <c r="Z23" i="5"/>
  <c r="Z28" i="5"/>
  <c r="Z26" i="5"/>
  <c r="Z21" i="5"/>
  <c r="Z38" i="5"/>
  <c r="Z17" i="5"/>
  <c r="Z15" i="5"/>
  <c r="Z13" i="5"/>
  <c r="Z11" i="5"/>
  <c r="Z7" i="5"/>
  <c r="Z27" i="5"/>
  <c r="AA5" i="5"/>
  <c r="Z45" i="5"/>
  <c r="Z36" i="5"/>
  <c r="Z35" i="5"/>
  <c r="Z25" i="5"/>
  <c r="Z8" i="5"/>
  <c r="Z10" i="5"/>
  <c r="Z12" i="5"/>
  <c r="Z9" i="5"/>
  <c r="Z24" i="5"/>
  <c r="Z14" i="5"/>
  <c r="Z22" i="5"/>
  <c r="Z16" i="5"/>
  <c r="Z29" i="5"/>
  <c r="Y61" i="5"/>
  <c r="Y75" i="5"/>
  <c r="Z75" i="5" l="1"/>
  <c r="AA74" i="5"/>
  <c r="AA73" i="5"/>
  <c r="AA72" i="5"/>
  <c r="AA71" i="5"/>
  <c r="AA68" i="5"/>
  <c r="AA70" i="5"/>
  <c r="AA66" i="5"/>
  <c r="AA63" i="5"/>
  <c r="AA69" i="5"/>
  <c r="AA64" i="5"/>
  <c r="AA65" i="5"/>
  <c r="AA60" i="5"/>
  <c r="AA58" i="5"/>
  <c r="AA53" i="5"/>
  <c r="AA59" i="5"/>
  <c r="AA57" i="5"/>
  <c r="AA56" i="5"/>
  <c r="AA52" i="5"/>
  <c r="AA51" i="5"/>
  <c r="AA50" i="5"/>
  <c r="AA67" i="5"/>
  <c r="AA54" i="5"/>
  <c r="AA43" i="5"/>
  <c r="AA41" i="5"/>
  <c r="AA44" i="5"/>
  <c r="AA55" i="5"/>
  <c r="AA39" i="5"/>
  <c r="AA38" i="5"/>
  <c r="AA37" i="5"/>
  <c r="AA36" i="5"/>
  <c r="AA35" i="5"/>
  <c r="AA47" i="5" s="1"/>
  <c r="AA49" i="5"/>
  <c r="AA42" i="5"/>
  <c r="AA40" i="5"/>
  <c r="AA45" i="5"/>
  <c r="AA32" i="5"/>
  <c r="AA29" i="5"/>
  <c r="AA28" i="5"/>
  <c r="AA27" i="5"/>
  <c r="AA26" i="5"/>
  <c r="AA31" i="5"/>
  <c r="AA21" i="5"/>
  <c r="AA18" i="5"/>
  <c r="AA24" i="5"/>
  <c r="AA23" i="5"/>
  <c r="AA30" i="5"/>
  <c r="AA17" i="5"/>
  <c r="AA15" i="5"/>
  <c r="AA13" i="5"/>
  <c r="AA11" i="5"/>
  <c r="AA7" i="5"/>
  <c r="AB5" i="5"/>
  <c r="AA22" i="5"/>
  <c r="AA46" i="5"/>
  <c r="AA8" i="5"/>
  <c r="AA9" i="5"/>
  <c r="AA12" i="5"/>
  <c r="AA25" i="5"/>
  <c r="AA16" i="5"/>
  <c r="AA14" i="5"/>
  <c r="AA10" i="5"/>
  <c r="Z61" i="5"/>
  <c r="Z47" i="5"/>
  <c r="Z33" i="5"/>
  <c r="Z19" i="5"/>
  <c r="AA19" i="5" l="1"/>
  <c r="AA33" i="5"/>
  <c r="AB74" i="5"/>
  <c r="AB73" i="5"/>
  <c r="AB72" i="5"/>
  <c r="AB71" i="5"/>
  <c r="AB68" i="5"/>
  <c r="AB66" i="5"/>
  <c r="AB63" i="5"/>
  <c r="AB69" i="5"/>
  <c r="AB64" i="5"/>
  <c r="AB65" i="5"/>
  <c r="AB59" i="5"/>
  <c r="AB57" i="5"/>
  <c r="AB56" i="5"/>
  <c r="AB70" i="5"/>
  <c r="AB54" i="5"/>
  <c r="AB67" i="5"/>
  <c r="AB60" i="5"/>
  <c r="AB58" i="5"/>
  <c r="AB53" i="5"/>
  <c r="AB52" i="5"/>
  <c r="AB50" i="5"/>
  <c r="AB46" i="5"/>
  <c r="AB45" i="5"/>
  <c r="AB44" i="5"/>
  <c r="AB43" i="5"/>
  <c r="AB42" i="5"/>
  <c r="AB55" i="5"/>
  <c r="AB39" i="5"/>
  <c r="AB38" i="5"/>
  <c r="AB37" i="5"/>
  <c r="AB36" i="5"/>
  <c r="AB35" i="5"/>
  <c r="AB51" i="5"/>
  <c r="AB41" i="5"/>
  <c r="AB49" i="5"/>
  <c r="AB32" i="5"/>
  <c r="AB29" i="5"/>
  <c r="AB28" i="5"/>
  <c r="AB27" i="5"/>
  <c r="AB26" i="5"/>
  <c r="AB40" i="5"/>
  <c r="AB31" i="5"/>
  <c r="AB21" i="5"/>
  <c r="AB18" i="5"/>
  <c r="AB24" i="5"/>
  <c r="AC5" i="5"/>
  <c r="AB22" i="5"/>
  <c r="AB30" i="5"/>
  <c r="AB17" i="5"/>
  <c r="AB15" i="5"/>
  <c r="AB13" i="5"/>
  <c r="AB11" i="5"/>
  <c r="AB7" i="5"/>
  <c r="AB12" i="5"/>
  <c r="AB9" i="5"/>
  <c r="AB10" i="5"/>
  <c r="AB14" i="5"/>
  <c r="AB25" i="5"/>
  <c r="AB16" i="5"/>
  <c r="AB23" i="5"/>
  <c r="AB8" i="5"/>
  <c r="AA61" i="5"/>
  <c r="AA75" i="5"/>
  <c r="AB33" i="5" l="1"/>
  <c r="AB47" i="5"/>
  <c r="AC74" i="5"/>
  <c r="AC73" i="5"/>
  <c r="AC72" i="5"/>
  <c r="AC71" i="5"/>
  <c r="AC70" i="5"/>
  <c r="AC66" i="5"/>
  <c r="AC68" i="5"/>
  <c r="AC63" i="5"/>
  <c r="AC69" i="5"/>
  <c r="AC64" i="5"/>
  <c r="AC67" i="5"/>
  <c r="AC58" i="5"/>
  <c r="AC57" i="5"/>
  <c r="AC56" i="5"/>
  <c r="AC65" i="5"/>
  <c r="AC54" i="5"/>
  <c r="AC59" i="5"/>
  <c r="AC46" i="5"/>
  <c r="AC45" i="5"/>
  <c r="AC44" i="5"/>
  <c r="AC43" i="5"/>
  <c r="AC42" i="5"/>
  <c r="AC41" i="5"/>
  <c r="AC49" i="5"/>
  <c r="AC52" i="5"/>
  <c r="AC50" i="5"/>
  <c r="AC60" i="5"/>
  <c r="AC55" i="5"/>
  <c r="AC39" i="5"/>
  <c r="AC38" i="5"/>
  <c r="AC37" i="5"/>
  <c r="AC36" i="5"/>
  <c r="AC35" i="5"/>
  <c r="AC51" i="5"/>
  <c r="AC53" i="5"/>
  <c r="AC40" i="5"/>
  <c r="AC32" i="5"/>
  <c r="AC29" i="5"/>
  <c r="AC28" i="5"/>
  <c r="AC27" i="5"/>
  <c r="AC26" i="5"/>
  <c r="AC25" i="5"/>
  <c r="AC24" i="5"/>
  <c r="AC23" i="5"/>
  <c r="AC22" i="5"/>
  <c r="AC21" i="5"/>
  <c r="AC33" i="5" s="1"/>
  <c r="AC30" i="5"/>
  <c r="AC17" i="5"/>
  <c r="AC16" i="5"/>
  <c r="AC15" i="5"/>
  <c r="AC14" i="5"/>
  <c r="AC13" i="5"/>
  <c r="AC12" i="5"/>
  <c r="AC11" i="5"/>
  <c r="AC10" i="5"/>
  <c r="AC31" i="5"/>
  <c r="AC18" i="5"/>
  <c r="AC9" i="5"/>
  <c r="AD5" i="5"/>
  <c r="AC7" i="5"/>
  <c r="AC8" i="5"/>
  <c r="AB19" i="5"/>
  <c r="AB61" i="5"/>
  <c r="AB75" i="5"/>
  <c r="AC61" i="5" l="1"/>
  <c r="AC75" i="5"/>
  <c r="AC19" i="5"/>
  <c r="AD74" i="5"/>
  <c r="AD71" i="5"/>
  <c r="AD69" i="5"/>
  <c r="AD68" i="5"/>
  <c r="AD66" i="5"/>
  <c r="AD64" i="5"/>
  <c r="AD73" i="5"/>
  <c r="AD67" i="5"/>
  <c r="AD72" i="5"/>
  <c r="AD58" i="5"/>
  <c r="AD57" i="5"/>
  <c r="AD56" i="5"/>
  <c r="AD54" i="5"/>
  <c r="AD70" i="5"/>
  <c r="AD65" i="5"/>
  <c r="AD46" i="5"/>
  <c r="AD45" i="5"/>
  <c r="AD44" i="5"/>
  <c r="AD43" i="5"/>
  <c r="AD42" i="5"/>
  <c r="AD41" i="5"/>
  <c r="AD40" i="5"/>
  <c r="AD49" i="5"/>
  <c r="AD60" i="5"/>
  <c r="AD55" i="5"/>
  <c r="AD53" i="5"/>
  <c r="AD59" i="5"/>
  <c r="AD51" i="5"/>
  <c r="AD50" i="5"/>
  <c r="AD52" i="5"/>
  <c r="AD63" i="5"/>
  <c r="AD39" i="5"/>
  <c r="AD38" i="5"/>
  <c r="AD37" i="5"/>
  <c r="AD36" i="5"/>
  <c r="AD30" i="5"/>
  <c r="AD32" i="5"/>
  <c r="AD29" i="5"/>
  <c r="AD28" i="5"/>
  <c r="AD27" i="5"/>
  <c r="AD26" i="5"/>
  <c r="AD24" i="5"/>
  <c r="AE5" i="5"/>
  <c r="AD17" i="5"/>
  <c r="AD16" i="5"/>
  <c r="AD15" i="5"/>
  <c r="AD14" i="5"/>
  <c r="AD13" i="5"/>
  <c r="AD12" i="5"/>
  <c r="AD11" i="5"/>
  <c r="AD10" i="5"/>
  <c r="AD35" i="5"/>
  <c r="AD22" i="5"/>
  <c r="AD21" i="5"/>
  <c r="AD31" i="5"/>
  <c r="AD9" i="5"/>
  <c r="AD7" i="5"/>
  <c r="AD23" i="5"/>
  <c r="AD8" i="5"/>
  <c r="AD25" i="5"/>
  <c r="AD18" i="5"/>
  <c r="AC47" i="5"/>
  <c r="AD47" i="5" l="1"/>
  <c r="AE74" i="5"/>
  <c r="AE69" i="5"/>
  <c r="AE68" i="5"/>
  <c r="AE72" i="5"/>
  <c r="AE73" i="5"/>
  <c r="AE71" i="5"/>
  <c r="AE67" i="5"/>
  <c r="AE65" i="5"/>
  <c r="AE66" i="5"/>
  <c r="AE60" i="5"/>
  <c r="AE58" i="5"/>
  <c r="AE57" i="5"/>
  <c r="AE56" i="5"/>
  <c r="AE55" i="5"/>
  <c r="AE54" i="5"/>
  <c r="AE53" i="5"/>
  <c r="AE70" i="5"/>
  <c r="AE64" i="5"/>
  <c r="AE59" i="5"/>
  <c r="AE46" i="5"/>
  <c r="AE49" i="5"/>
  <c r="AE51" i="5"/>
  <c r="AE45" i="5"/>
  <c r="AE44" i="5"/>
  <c r="AE50" i="5"/>
  <c r="AE40" i="5"/>
  <c r="AE52" i="5"/>
  <c r="AE63" i="5"/>
  <c r="AE43" i="5"/>
  <c r="AE30" i="5"/>
  <c r="AE42" i="5"/>
  <c r="AE38" i="5"/>
  <c r="AE36" i="5"/>
  <c r="AE41" i="5"/>
  <c r="AE17" i="5"/>
  <c r="AE16" i="5"/>
  <c r="AE15" i="5"/>
  <c r="AE14" i="5"/>
  <c r="AE13" i="5"/>
  <c r="AE12" i="5"/>
  <c r="AE11" i="5"/>
  <c r="AE10" i="5"/>
  <c r="AE9" i="5"/>
  <c r="AE8" i="5"/>
  <c r="AE7" i="5"/>
  <c r="AE39" i="5"/>
  <c r="AE35" i="5"/>
  <c r="AE47" i="5" s="1"/>
  <c r="AE28" i="5"/>
  <c r="AE26" i="5"/>
  <c r="AE22" i="5"/>
  <c r="AE25" i="5"/>
  <c r="AE32" i="5"/>
  <c r="AE24" i="5"/>
  <c r="AF5" i="5"/>
  <c r="AE21" i="5"/>
  <c r="AE33" i="5" s="1"/>
  <c r="AE27" i="5"/>
  <c r="AE23" i="5"/>
  <c r="AE37" i="5"/>
  <c r="AE29" i="5"/>
  <c r="AE31" i="5"/>
  <c r="AE18" i="5"/>
  <c r="AD19" i="5"/>
  <c r="AD75" i="5"/>
  <c r="AD61" i="5"/>
  <c r="AD33" i="5"/>
  <c r="AE75" i="5" l="1"/>
  <c r="AF69" i="5"/>
  <c r="AF68" i="5"/>
  <c r="AF67" i="5"/>
  <c r="AF66" i="5"/>
  <c r="AF74" i="5"/>
  <c r="AF72" i="5"/>
  <c r="AF71" i="5"/>
  <c r="AF65" i="5"/>
  <c r="AF64" i="5"/>
  <c r="AF73" i="5"/>
  <c r="AF60" i="5"/>
  <c r="AF70" i="5"/>
  <c r="AF59" i="5"/>
  <c r="AF58" i="5"/>
  <c r="AF57" i="5"/>
  <c r="AF56" i="5"/>
  <c r="AF63" i="5"/>
  <c r="AF55" i="5"/>
  <c r="AF52" i="5"/>
  <c r="AF51" i="5"/>
  <c r="AF50" i="5"/>
  <c r="AF54" i="5"/>
  <c r="AF53" i="5"/>
  <c r="AF49" i="5"/>
  <c r="AF46" i="5"/>
  <c r="AF44" i="5"/>
  <c r="AF40" i="5"/>
  <c r="AF42" i="5"/>
  <c r="AF45" i="5"/>
  <c r="AF38" i="5"/>
  <c r="AF36" i="5"/>
  <c r="AF31" i="5"/>
  <c r="AF30" i="5"/>
  <c r="AF39" i="5"/>
  <c r="AF35" i="5"/>
  <c r="AF28" i="5"/>
  <c r="AF26" i="5"/>
  <c r="AF22" i="5"/>
  <c r="AF43" i="5"/>
  <c r="AF25" i="5"/>
  <c r="AF41" i="5"/>
  <c r="AF17" i="5"/>
  <c r="AF16" i="5"/>
  <c r="AF15" i="5"/>
  <c r="AF14" i="5"/>
  <c r="AF13" i="5"/>
  <c r="AF12" i="5"/>
  <c r="AF11" i="5"/>
  <c r="AF10" i="5"/>
  <c r="AF9" i="5"/>
  <c r="AF8" i="5"/>
  <c r="AF7" i="5"/>
  <c r="AF32" i="5"/>
  <c r="AF27" i="5"/>
  <c r="AF23" i="5"/>
  <c r="AF37" i="5"/>
  <c r="AF29" i="5"/>
  <c r="AF21" i="5"/>
  <c r="AF18" i="5"/>
  <c r="AG5" i="5"/>
  <c r="AF24" i="5"/>
  <c r="AE19" i="5"/>
  <c r="AE61" i="5"/>
  <c r="AF33" i="5" l="1"/>
  <c r="AG70" i="5"/>
  <c r="AG74" i="5"/>
  <c r="AG71" i="5"/>
  <c r="AG65" i="5"/>
  <c r="AG64" i="5"/>
  <c r="AG67" i="5"/>
  <c r="AG73" i="5"/>
  <c r="AG69" i="5"/>
  <c r="AG66" i="5"/>
  <c r="AG60" i="5"/>
  <c r="AG59" i="5"/>
  <c r="AG58" i="5"/>
  <c r="AG72" i="5"/>
  <c r="AG68" i="5"/>
  <c r="AG63" i="5"/>
  <c r="AG75" i="5" s="1"/>
  <c r="AG55" i="5"/>
  <c r="AG52" i="5"/>
  <c r="AG51" i="5"/>
  <c r="AG50" i="5"/>
  <c r="AG57" i="5"/>
  <c r="AG56" i="5"/>
  <c r="AG53" i="5"/>
  <c r="AG54" i="5"/>
  <c r="AG46" i="5"/>
  <c r="AG44" i="5"/>
  <c r="AG40" i="5"/>
  <c r="AG45" i="5"/>
  <c r="AG38" i="5"/>
  <c r="AG36" i="5"/>
  <c r="AG31" i="5"/>
  <c r="AG35" i="5"/>
  <c r="AG47" i="5" s="1"/>
  <c r="AG49" i="5"/>
  <c r="AG42" i="5"/>
  <c r="AG43" i="5"/>
  <c r="AG25" i="5"/>
  <c r="AG23" i="5"/>
  <c r="AG39" i="5"/>
  <c r="AG28" i="5"/>
  <c r="AG26" i="5"/>
  <c r="AG22" i="5"/>
  <c r="AG9" i="5"/>
  <c r="AG37" i="5"/>
  <c r="AG29" i="5"/>
  <c r="AG24" i="5"/>
  <c r="AG18" i="5"/>
  <c r="AG16" i="5"/>
  <c r="AG14" i="5"/>
  <c r="AG12" i="5"/>
  <c r="AG10" i="5"/>
  <c r="AG8" i="5"/>
  <c r="AG41" i="5"/>
  <c r="AG32" i="5"/>
  <c r="AG27" i="5"/>
  <c r="AG7" i="5"/>
  <c r="AG15" i="5"/>
  <c r="AG11" i="5"/>
  <c r="AH5" i="5"/>
  <c r="AG21" i="5"/>
  <c r="AG30" i="5"/>
  <c r="AG13" i="5"/>
  <c r="AG17" i="5"/>
  <c r="AF75" i="5"/>
  <c r="AF19" i="5"/>
  <c r="AF47" i="5"/>
  <c r="AF61" i="5"/>
  <c r="AG19" i="5" l="1"/>
  <c r="AG33" i="5"/>
  <c r="AH70" i="5"/>
  <c r="AH72" i="5"/>
  <c r="AH74" i="5"/>
  <c r="AH73" i="5"/>
  <c r="AH67" i="5"/>
  <c r="AH69" i="5"/>
  <c r="AH71" i="5"/>
  <c r="AH66" i="5"/>
  <c r="AH60" i="5"/>
  <c r="AH65" i="5"/>
  <c r="AH63" i="5"/>
  <c r="AH59" i="5"/>
  <c r="AH64" i="5"/>
  <c r="AH55" i="5"/>
  <c r="AH52" i="5"/>
  <c r="AH51" i="5"/>
  <c r="AH50" i="5"/>
  <c r="AH49" i="5"/>
  <c r="AH53" i="5"/>
  <c r="AH68" i="5"/>
  <c r="AH58" i="5"/>
  <c r="AH57" i="5"/>
  <c r="AH54" i="5"/>
  <c r="AH56" i="5"/>
  <c r="AH32" i="5"/>
  <c r="AH31" i="5"/>
  <c r="AH30" i="5"/>
  <c r="AH46" i="5"/>
  <c r="AH45" i="5"/>
  <c r="AH18" i="5"/>
  <c r="AH35" i="5"/>
  <c r="AH43" i="5"/>
  <c r="AH44" i="5"/>
  <c r="AH38" i="5"/>
  <c r="AH36" i="5"/>
  <c r="AH40" i="5"/>
  <c r="AH23" i="5"/>
  <c r="AH29" i="5"/>
  <c r="AH27" i="5"/>
  <c r="AH25" i="5"/>
  <c r="AH22" i="5"/>
  <c r="AH37" i="5"/>
  <c r="AH28" i="5"/>
  <c r="AH24" i="5"/>
  <c r="AH16" i="5"/>
  <c r="AH14" i="5"/>
  <c r="AH12" i="5"/>
  <c r="AH10" i="5"/>
  <c r="AH8" i="5"/>
  <c r="AH42" i="5"/>
  <c r="AH39" i="5"/>
  <c r="AH41" i="5"/>
  <c r="AH9" i="5"/>
  <c r="AH11" i="5"/>
  <c r="AI5" i="5"/>
  <c r="AH15" i="5"/>
  <c r="AH21" i="5"/>
  <c r="AH13" i="5"/>
  <c r="AH26" i="5"/>
  <c r="AH17" i="5"/>
  <c r="AH7" i="5"/>
  <c r="AG61" i="5"/>
  <c r="AH19" i="5" l="1"/>
  <c r="AH33" i="5"/>
  <c r="AH75" i="5"/>
  <c r="AH61" i="5"/>
  <c r="AI73" i="5"/>
  <c r="AI72" i="5"/>
  <c r="AI74" i="5"/>
  <c r="AI70" i="5"/>
  <c r="AI69" i="5"/>
  <c r="AI67" i="5"/>
  <c r="AI71" i="5"/>
  <c r="AI65" i="5"/>
  <c r="AI63" i="5"/>
  <c r="AI64" i="5"/>
  <c r="AI60" i="5"/>
  <c r="AI59" i="5"/>
  <c r="AI53" i="5"/>
  <c r="AI66" i="5"/>
  <c r="AI55" i="5"/>
  <c r="AI52" i="5"/>
  <c r="AI51" i="5"/>
  <c r="AI56" i="5"/>
  <c r="AI58" i="5"/>
  <c r="AI57" i="5"/>
  <c r="AI54" i="5"/>
  <c r="AI46" i="5"/>
  <c r="AI45" i="5"/>
  <c r="AI42" i="5"/>
  <c r="AI41" i="5"/>
  <c r="AI39" i="5"/>
  <c r="AI38" i="5"/>
  <c r="AI37" i="5"/>
  <c r="AI36" i="5"/>
  <c r="AI35" i="5"/>
  <c r="AI68" i="5"/>
  <c r="AI50" i="5"/>
  <c r="AI31" i="5"/>
  <c r="AI43" i="5"/>
  <c r="AI29" i="5"/>
  <c r="AI28" i="5"/>
  <c r="AI27" i="5"/>
  <c r="AI26" i="5"/>
  <c r="AI40" i="5"/>
  <c r="AI23" i="5"/>
  <c r="AI44" i="5"/>
  <c r="AI21" i="5"/>
  <c r="AI18" i="5"/>
  <c r="AI49" i="5"/>
  <c r="AI61" i="5" s="1"/>
  <c r="AI24" i="5"/>
  <c r="AI16" i="5"/>
  <c r="AI14" i="5"/>
  <c r="AI12" i="5"/>
  <c r="AI10" i="5"/>
  <c r="AI8" i="5"/>
  <c r="AI7" i="5"/>
  <c r="AI32" i="5"/>
  <c r="AI22" i="5"/>
  <c r="AI30" i="5"/>
  <c r="AI13" i="5"/>
  <c r="AI17" i="5"/>
  <c r="AI25" i="5"/>
  <c r="AI15" i="5"/>
  <c r="AI9" i="5"/>
  <c r="AI11" i="5"/>
  <c r="AJ5" i="5"/>
  <c r="AH47" i="5"/>
  <c r="AI33" i="5" l="1"/>
  <c r="AI19" i="5"/>
  <c r="AI75" i="5"/>
  <c r="AI47" i="5"/>
  <c r="AJ73" i="5"/>
  <c r="AJ72" i="5"/>
  <c r="AJ74" i="5"/>
  <c r="AJ71" i="5"/>
  <c r="AJ69" i="5"/>
  <c r="AJ70" i="5"/>
  <c r="AJ67" i="5"/>
  <c r="AJ65" i="5"/>
  <c r="AJ63" i="5"/>
  <c r="AJ60" i="5"/>
  <c r="AJ68" i="5"/>
  <c r="AJ64" i="5"/>
  <c r="AJ53" i="5"/>
  <c r="AJ66" i="5"/>
  <c r="AJ55" i="5"/>
  <c r="AJ51" i="5"/>
  <c r="AJ45" i="5"/>
  <c r="AJ44" i="5"/>
  <c r="AJ43" i="5"/>
  <c r="AJ42" i="5"/>
  <c r="AJ56" i="5"/>
  <c r="AJ59" i="5"/>
  <c r="AJ54" i="5"/>
  <c r="AJ58" i="5"/>
  <c r="AJ57" i="5"/>
  <c r="AJ52" i="5"/>
  <c r="AJ41" i="5"/>
  <c r="AJ39" i="5"/>
  <c r="AJ38" i="5"/>
  <c r="AJ37" i="5"/>
  <c r="AJ36" i="5"/>
  <c r="AJ35" i="5"/>
  <c r="AJ50" i="5"/>
  <c r="AJ46" i="5"/>
  <c r="AJ29" i="5"/>
  <c r="AJ28" i="5"/>
  <c r="AJ27" i="5"/>
  <c r="AJ26" i="5"/>
  <c r="AJ32" i="5"/>
  <c r="AJ31" i="5"/>
  <c r="AJ21" i="5"/>
  <c r="AJ18" i="5"/>
  <c r="AJ30" i="5"/>
  <c r="AJ24" i="5"/>
  <c r="AJ40" i="5"/>
  <c r="AJ23" i="5"/>
  <c r="AJ7" i="5"/>
  <c r="AJ25" i="5"/>
  <c r="AK5" i="5"/>
  <c r="AJ49" i="5"/>
  <c r="AJ61" i="5" s="1"/>
  <c r="AJ16" i="5"/>
  <c r="AJ14" i="5"/>
  <c r="AJ12" i="5"/>
  <c r="AJ10" i="5"/>
  <c r="AJ8" i="5"/>
  <c r="AJ13" i="5"/>
  <c r="AJ11" i="5"/>
  <c r="AJ22" i="5"/>
  <c r="AJ15" i="5"/>
  <c r="AJ9" i="5"/>
  <c r="AJ17" i="5"/>
  <c r="AK73" i="5" l="1"/>
  <c r="AK72" i="5"/>
  <c r="AK71" i="5"/>
  <c r="AK70" i="5"/>
  <c r="AK69" i="5"/>
  <c r="AK74" i="5"/>
  <c r="AK68" i="5"/>
  <c r="AK66" i="5"/>
  <c r="AK67" i="5"/>
  <c r="AK65" i="5"/>
  <c r="AK63" i="5"/>
  <c r="AK64" i="5"/>
  <c r="AK60" i="5"/>
  <c r="AK57" i="5"/>
  <c r="AK56" i="5"/>
  <c r="AK54" i="5"/>
  <c r="AK53" i="5"/>
  <c r="AK55" i="5"/>
  <c r="AK51" i="5"/>
  <c r="AK45" i="5"/>
  <c r="AK44" i="5"/>
  <c r="AK43" i="5"/>
  <c r="AK42" i="5"/>
  <c r="AK41" i="5"/>
  <c r="AK50" i="5"/>
  <c r="AK46" i="5"/>
  <c r="AK58" i="5"/>
  <c r="AK52" i="5"/>
  <c r="AK39" i="5"/>
  <c r="AK38" i="5"/>
  <c r="AK37" i="5"/>
  <c r="AK36" i="5"/>
  <c r="AK35" i="5"/>
  <c r="AK49" i="5"/>
  <c r="AK59" i="5"/>
  <c r="AK29" i="5"/>
  <c r="AK28" i="5"/>
  <c r="AK27" i="5"/>
  <c r="AK26" i="5"/>
  <c r="AK25" i="5"/>
  <c r="AK24" i="5"/>
  <c r="AK23" i="5"/>
  <c r="AK22" i="5"/>
  <c r="AK21" i="5"/>
  <c r="AK32" i="5"/>
  <c r="AK18" i="5"/>
  <c r="AK30" i="5"/>
  <c r="AK17" i="5"/>
  <c r="AK16" i="5"/>
  <c r="AK15" i="5"/>
  <c r="AK14" i="5"/>
  <c r="AK13" i="5"/>
  <c r="AK12" i="5"/>
  <c r="AK11" i="5"/>
  <c r="AK10" i="5"/>
  <c r="AK7" i="5"/>
  <c r="AK19" i="5" s="1"/>
  <c r="AL5" i="5"/>
  <c r="AK40" i="5"/>
  <c r="AK31" i="5"/>
  <c r="AK8" i="5"/>
  <c r="AK9" i="5"/>
  <c r="AJ19" i="5"/>
  <c r="AJ33" i="5"/>
  <c r="AJ47" i="5"/>
  <c r="AJ75" i="5"/>
  <c r="AK75" i="5" l="1"/>
  <c r="AK61" i="5"/>
  <c r="AK33" i="5"/>
  <c r="AL74" i="5"/>
  <c r="AL72" i="5"/>
  <c r="AL71" i="5"/>
  <c r="AL73" i="5"/>
  <c r="AL68" i="5"/>
  <c r="AL69" i="5"/>
  <c r="AL70" i="5"/>
  <c r="AL66" i="5"/>
  <c r="AL64" i="5"/>
  <c r="AL57" i="5"/>
  <c r="AL56" i="5"/>
  <c r="AL63" i="5"/>
  <c r="AL58" i="5"/>
  <c r="AL60" i="5"/>
  <c r="AL54" i="5"/>
  <c r="AL67" i="5"/>
  <c r="AL45" i="5"/>
  <c r="AL44" i="5"/>
  <c r="AL43" i="5"/>
  <c r="AL42" i="5"/>
  <c r="AL41" i="5"/>
  <c r="AL40" i="5"/>
  <c r="AL39" i="5"/>
  <c r="AL50" i="5"/>
  <c r="AL46" i="5"/>
  <c r="AL52" i="5"/>
  <c r="AL49" i="5"/>
  <c r="AL65" i="5"/>
  <c r="AL55" i="5"/>
  <c r="AL53" i="5"/>
  <c r="AL51" i="5"/>
  <c r="AL59" i="5"/>
  <c r="AL38" i="5"/>
  <c r="AL37" i="5"/>
  <c r="AL36" i="5"/>
  <c r="AL35" i="5"/>
  <c r="AL32" i="5"/>
  <c r="AL30" i="5"/>
  <c r="AL29" i="5"/>
  <c r="AL28" i="5"/>
  <c r="AL27" i="5"/>
  <c r="AL26" i="5"/>
  <c r="AL21" i="5"/>
  <c r="AM5" i="5"/>
  <c r="AL24" i="5"/>
  <c r="AL17" i="5"/>
  <c r="AL16" i="5"/>
  <c r="AL15" i="5"/>
  <c r="AL14" i="5"/>
  <c r="AL13" i="5"/>
  <c r="AL12" i="5"/>
  <c r="AL11" i="5"/>
  <c r="AL10" i="5"/>
  <c r="AL18" i="5"/>
  <c r="AL23" i="5"/>
  <c r="AL25" i="5"/>
  <c r="AL31" i="5"/>
  <c r="AL7" i="5"/>
  <c r="AL9" i="5"/>
  <c r="AL8" i="5"/>
  <c r="AL22" i="5"/>
  <c r="AK47" i="5"/>
  <c r="AL47" i="5" l="1"/>
  <c r="AM74" i="5"/>
  <c r="AM72" i="5"/>
  <c r="AM71" i="5"/>
  <c r="AM73" i="5"/>
  <c r="AM68" i="5"/>
  <c r="AM69" i="5"/>
  <c r="AM70" i="5"/>
  <c r="AM66" i="5"/>
  <c r="AM65" i="5"/>
  <c r="AM64" i="5"/>
  <c r="AM60" i="5"/>
  <c r="AM57" i="5"/>
  <c r="AM56" i="5"/>
  <c r="AM55" i="5"/>
  <c r="AM54" i="5"/>
  <c r="AM53" i="5"/>
  <c r="AM63" i="5"/>
  <c r="AM58" i="5"/>
  <c r="AM67" i="5"/>
  <c r="AM46" i="5"/>
  <c r="AM59" i="5"/>
  <c r="AM50" i="5"/>
  <c r="AM52" i="5"/>
  <c r="AM49" i="5"/>
  <c r="AM45" i="5"/>
  <c r="AM44" i="5"/>
  <c r="AM41" i="5"/>
  <c r="AM42" i="5"/>
  <c r="AM43" i="5"/>
  <c r="AM40" i="5"/>
  <c r="AM51" i="5"/>
  <c r="AM39" i="5"/>
  <c r="AM30" i="5"/>
  <c r="AM37" i="5"/>
  <c r="AM35" i="5"/>
  <c r="AM32" i="5"/>
  <c r="AM24" i="5"/>
  <c r="AM17" i="5"/>
  <c r="AM16" i="5"/>
  <c r="AM15" i="5"/>
  <c r="AM14" i="5"/>
  <c r="AM13" i="5"/>
  <c r="AM12" i="5"/>
  <c r="AM11" i="5"/>
  <c r="AM10" i="5"/>
  <c r="AM9" i="5"/>
  <c r="AM8" i="5"/>
  <c r="AM7" i="5"/>
  <c r="AM29" i="5"/>
  <c r="AM27" i="5"/>
  <c r="AM36" i="5"/>
  <c r="AM31" i="5"/>
  <c r="AM22" i="5"/>
  <c r="AM21" i="5"/>
  <c r="AM33" i="5" s="1"/>
  <c r="AN5" i="5"/>
  <c r="AM28" i="5"/>
  <c r="AM25" i="5"/>
  <c r="AM18" i="5"/>
  <c r="AM38" i="5"/>
  <c r="AM23" i="5"/>
  <c r="AM26" i="5"/>
  <c r="AL75" i="5"/>
  <c r="AL33" i="5"/>
  <c r="AL19" i="5"/>
  <c r="AL61" i="5"/>
  <c r="AN73" i="5" l="1"/>
  <c r="AN68" i="5"/>
  <c r="AN67" i="5"/>
  <c r="AN66" i="5"/>
  <c r="AN69" i="5"/>
  <c r="AN74" i="5"/>
  <c r="AN70" i="5"/>
  <c r="AN65" i="5"/>
  <c r="AN64" i="5"/>
  <c r="AN72" i="5"/>
  <c r="AN71" i="5"/>
  <c r="AN60" i="5"/>
  <c r="AN63" i="5"/>
  <c r="AN58" i="5"/>
  <c r="AN59" i="5"/>
  <c r="AN57" i="5"/>
  <c r="AN54" i="5"/>
  <c r="AN52" i="5"/>
  <c r="AN51" i="5"/>
  <c r="AN50" i="5"/>
  <c r="AN49" i="5"/>
  <c r="AN46" i="5"/>
  <c r="AN45" i="5"/>
  <c r="AN42" i="5"/>
  <c r="AN53" i="5"/>
  <c r="AN43" i="5"/>
  <c r="AN40" i="5"/>
  <c r="AN56" i="5"/>
  <c r="AN55" i="5"/>
  <c r="AN41" i="5"/>
  <c r="AN30" i="5"/>
  <c r="AN37" i="5"/>
  <c r="AN39" i="5"/>
  <c r="AN29" i="5"/>
  <c r="AN27" i="5"/>
  <c r="AN44" i="5"/>
  <c r="AN36" i="5"/>
  <c r="AN31" i="5"/>
  <c r="AN22" i="5"/>
  <c r="AN25" i="5"/>
  <c r="AN35" i="5"/>
  <c r="AN24" i="5"/>
  <c r="AN17" i="5"/>
  <c r="AN16" i="5"/>
  <c r="AN15" i="5"/>
  <c r="AN14" i="5"/>
  <c r="AN13" i="5"/>
  <c r="AN12" i="5"/>
  <c r="AN11" i="5"/>
  <c r="AN10" i="5"/>
  <c r="AN9" i="5"/>
  <c r="AN8" i="5"/>
  <c r="AN7" i="5"/>
  <c r="AN18" i="5"/>
  <c r="AO5" i="5"/>
  <c r="AN26" i="5"/>
  <c r="AN32" i="5"/>
  <c r="AN38" i="5"/>
  <c r="AN28" i="5"/>
  <c r="AN21" i="5"/>
  <c r="AN23" i="5"/>
  <c r="AM47" i="5"/>
  <c r="AM75" i="5"/>
  <c r="AM19" i="5"/>
  <c r="AM61" i="5"/>
  <c r="AN75" i="5" l="1"/>
  <c r="AO69" i="5"/>
  <c r="AO73" i="5"/>
  <c r="AO71" i="5"/>
  <c r="AO65" i="5"/>
  <c r="AO64" i="5"/>
  <c r="AO72" i="5"/>
  <c r="AO68" i="5"/>
  <c r="AO67" i="5"/>
  <c r="AO70" i="5"/>
  <c r="AO66" i="5"/>
  <c r="AO60" i="5"/>
  <c r="AO59" i="5"/>
  <c r="AO58" i="5"/>
  <c r="AO74" i="5"/>
  <c r="AO63" i="5"/>
  <c r="AO75" i="5" s="1"/>
  <c r="AO52" i="5"/>
  <c r="AO51" i="5"/>
  <c r="AO50" i="5"/>
  <c r="AO56" i="5"/>
  <c r="AO55" i="5"/>
  <c r="AO54" i="5"/>
  <c r="AO49" i="5"/>
  <c r="AO61" i="5" s="1"/>
  <c r="AO46" i="5"/>
  <c r="AO57" i="5"/>
  <c r="AO53" i="5"/>
  <c r="AO43" i="5"/>
  <c r="AO40" i="5"/>
  <c r="AO45" i="5"/>
  <c r="AO42" i="5"/>
  <c r="AO37" i="5"/>
  <c r="AO39" i="5"/>
  <c r="AO41" i="5"/>
  <c r="AO31" i="5"/>
  <c r="AO30" i="5"/>
  <c r="AO44" i="5"/>
  <c r="AO36" i="5"/>
  <c r="AO22" i="5"/>
  <c r="AO25" i="5"/>
  <c r="AO32" i="5"/>
  <c r="AO29" i="5"/>
  <c r="AO27" i="5"/>
  <c r="AO17" i="5"/>
  <c r="AO15" i="5"/>
  <c r="AO13" i="5"/>
  <c r="AO11" i="5"/>
  <c r="AO9" i="5"/>
  <c r="AO26" i="5"/>
  <c r="AO35" i="5"/>
  <c r="AO38" i="5"/>
  <c r="AO24" i="5"/>
  <c r="AO18" i="5"/>
  <c r="AP5" i="5"/>
  <c r="AO7" i="5"/>
  <c r="AO14" i="5"/>
  <c r="AO10" i="5"/>
  <c r="AO21" i="5"/>
  <c r="AO8" i="5"/>
  <c r="AO23" i="5"/>
  <c r="AO16" i="5"/>
  <c r="AO28" i="5"/>
  <c r="AO12" i="5"/>
  <c r="AN33" i="5"/>
  <c r="AN19" i="5"/>
  <c r="AN61" i="5"/>
  <c r="AN47" i="5"/>
  <c r="AO19" i="5" l="1"/>
  <c r="AP74" i="5"/>
  <c r="AP70" i="5"/>
  <c r="AP72" i="5"/>
  <c r="AP68" i="5"/>
  <c r="AP67" i="5"/>
  <c r="AP69" i="5"/>
  <c r="AP71" i="5"/>
  <c r="AP64" i="5"/>
  <c r="AP60" i="5"/>
  <c r="AP63" i="5"/>
  <c r="AP59" i="5"/>
  <c r="AP66" i="5"/>
  <c r="AP58" i="5"/>
  <c r="AP52" i="5"/>
  <c r="AP51" i="5"/>
  <c r="AP50" i="5"/>
  <c r="AP49" i="5"/>
  <c r="AP73" i="5"/>
  <c r="AP56" i="5"/>
  <c r="AP55" i="5"/>
  <c r="AP57" i="5"/>
  <c r="AP32" i="5"/>
  <c r="AP31" i="5"/>
  <c r="AP30" i="5"/>
  <c r="AP44" i="5"/>
  <c r="AP65" i="5"/>
  <c r="AP54" i="5"/>
  <c r="AP53" i="5"/>
  <c r="AP43" i="5"/>
  <c r="AP40" i="5"/>
  <c r="AP39" i="5"/>
  <c r="AP18" i="5"/>
  <c r="AP41" i="5"/>
  <c r="AP45" i="5"/>
  <c r="AP37" i="5"/>
  <c r="AP25" i="5"/>
  <c r="AP42" i="5"/>
  <c r="AP38" i="5"/>
  <c r="AP28" i="5"/>
  <c r="AP26" i="5"/>
  <c r="AP23" i="5"/>
  <c r="AP36" i="5"/>
  <c r="AP22" i="5"/>
  <c r="AP29" i="5"/>
  <c r="AP17" i="5"/>
  <c r="AP15" i="5"/>
  <c r="AP13" i="5"/>
  <c r="AP11" i="5"/>
  <c r="AP9" i="5"/>
  <c r="AP21" i="5"/>
  <c r="AP46" i="5"/>
  <c r="AP35" i="5"/>
  <c r="AP14" i="5"/>
  <c r="AP8" i="5"/>
  <c r="AP10" i="5"/>
  <c r="AP12" i="5"/>
  <c r="AP24" i="5"/>
  <c r="AP16" i="5"/>
  <c r="AQ5" i="5"/>
  <c r="AP27" i="5"/>
  <c r="AP7" i="5"/>
  <c r="AO33" i="5"/>
  <c r="AO47" i="5"/>
  <c r="AP19" i="5" l="1"/>
  <c r="AP75" i="5"/>
  <c r="AQ73" i="5"/>
  <c r="AQ72" i="5"/>
  <c r="AQ74" i="5"/>
  <c r="AQ70" i="5"/>
  <c r="AQ67" i="5"/>
  <c r="AQ68" i="5"/>
  <c r="AQ63" i="5"/>
  <c r="AQ71" i="5"/>
  <c r="AQ59" i="5"/>
  <c r="AQ66" i="5"/>
  <c r="AQ56" i="5"/>
  <c r="AQ55" i="5"/>
  <c r="AQ57" i="5"/>
  <c r="AQ58" i="5"/>
  <c r="AQ53" i="5"/>
  <c r="AQ65" i="5"/>
  <c r="AQ52" i="5"/>
  <c r="AQ51" i="5"/>
  <c r="AQ60" i="5"/>
  <c r="AQ50" i="5"/>
  <c r="AQ64" i="5"/>
  <c r="AQ49" i="5"/>
  <c r="AQ61" i="5" s="1"/>
  <c r="AQ44" i="5"/>
  <c r="AQ38" i="5"/>
  <c r="AQ37" i="5"/>
  <c r="AQ36" i="5"/>
  <c r="AQ35" i="5"/>
  <c r="AQ69" i="5"/>
  <c r="AQ54" i="5"/>
  <c r="AQ43" i="5"/>
  <c r="AQ41" i="5"/>
  <c r="AQ31" i="5"/>
  <c r="AQ40" i="5"/>
  <c r="AQ29" i="5"/>
  <c r="AQ28" i="5"/>
  <c r="AQ27" i="5"/>
  <c r="AQ26" i="5"/>
  <c r="AQ39" i="5"/>
  <c r="AQ30" i="5"/>
  <c r="AQ42" i="5"/>
  <c r="AQ32" i="5"/>
  <c r="AQ23" i="5"/>
  <c r="AQ46" i="5"/>
  <c r="AQ25" i="5"/>
  <c r="AQ17" i="5"/>
  <c r="AQ15" i="5"/>
  <c r="AQ13" i="5"/>
  <c r="AQ11" i="5"/>
  <c r="AQ9" i="5"/>
  <c r="AQ21" i="5"/>
  <c r="AQ8" i="5"/>
  <c r="AQ45" i="5"/>
  <c r="AQ24" i="5"/>
  <c r="AQ18" i="5"/>
  <c r="AQ16" i="5"/>
  <c r="AQ12" i="5"/>
  <c r="AQ22" i="5"/>
  <c r="AQ10" i="5"/>
  <c r="AQ7" i="5"/>
  <c r="AR5" i="5"/>
  <c r="AQ14" i="5"/>
  <c r="AP33" i="5"/>
  <c r="AP61" i="5"/>
  <c r="AP47" i="5"/>
  <c r="AR73" i="5" l="1"/>
  <c r="AR72" i="5"/>
  <c r="AR74" i="5"/>
  <c r="AR70" i="5"/>
  <c r="AR71" i="5"/>
  <c r="AR67" i="5"/>
  <c r="AR63" i="5"/>
  <c r="AR68" i="5"/>
  <c r="AR66" i="5"/>
  <c r="AR65" i="5"/>
  <c r="AR59" i="5"/>
  <c r="AR57" i="5"/>
  <c r="AR58" i="5"/>
  <c r="AR53" i="5"/>
  <c r="AR64" i="5"/>
  <c r="AR56" i="5"/>
  <c r="AR55" i="5"/>
  <c r="AR60" i="5"/>
  <c r="AR52" i="5"/>
  <c r="AR45" i="5"/>
  <c r="AR44" i="5"/>
  <c r="AR43" i="5"/>
  <c r="AR42" i="5"/>
  <c r="AR41" i="5"/>
  <c r="AR49" i="5"/>
  <c r="AR38" i="5"/>
  <c r="AR37" i="5"/>
  <c r="AR36" i="5"/>
  <c r="AR35" i="5"/>
  <c r="AR39" i="5"/>
  <c r="AR69" i="5"/>
  <c r="AR54" i="5"/>
  <c r="AR50" i="5"/>
  <c r="AR51" i="5"/>
  <c r="AR31" i="5"/>
  <c r="AR40" i="5"/>
  <c r="AR29" i="5"/>
  <c r="AR28" i="5"/>
  <c r="AR27" i="5"/>
  <c r="AR26" i="5"/>
  <c r="AR32" i="5"/>
  <c r="AR23" i="5"/>
  <c r="AR46" i="5"/>
  <c r="AR21" i="5"/>
  <c r="AR18" i="5"/>
  <c r="AR30" i="5"/>
  <c r="AR8" i="5"/>
  <c r="AR25" i="5"/>
  <c r="AR17" i="5"/>
  <c r="AR15" i="5"/>
  <c r="AR13" i="5"/>
  <c r="AR11" i="5"/>
  <c r="AR9" i="5"/>
  <c r="AR24" i="5"/>
  <c r="AR16" i="5"/>
  <c r="AR22" i="5"/>
  <c r="AR10" i="5"/>
  <c r="AR12" i="5"/>
  <c r="AR7" i="5"/>
  <c r="AS5" i="5"/>
  <c r="AR14" i="5"/>
  <c r="AQ47" i="5"/>
  <c r="AQ33" i="5"/>
  <c r="AQ19" i="5"/>
  <c r="AQ75" i="5"/>
  <c r="AR47" i="5" l="1"/>
  <c r="AR33" i="5"/>
  <c r="AR19" i="5"/>
  <c r="AR75" i="5"/>
  <c r="AS73" i="5"/>
  <c r="AS72" i="5"/>
  <c r="AS71" i="5"/>
  <c r="AS70" i="5"/>
  <c r="AS69" i="5"/>
  <c r="AS74" i="5"/>
  <c r="AS63" i="5"/>
  <c r="AS68" i="5"/>
  <c r="AS66" i="5"/>
  <c r="AS65" i="5"/>
  <c r="AS67" i="5"/>
  <c r="AS57" i="5"/>
  <c r="AS56" i="5"/>
  <c r="AS58" i="5"/>
  <c r="AS53" i="5"/>
  <c r="AS59" i="5"/>
  <c r="AS64" i="5"/>
  <c r="AS60" i="5"/>
  <c r="AS45" i="5"/>
  <c r="AS44" i="5"/>
  <c r="AS43" i="5"/>
  <c r="AS42" i="5"/>
  <c r="AS41" i="5"/>
  <c r="AS40" i="5"/>
  <c r="AS54" i="5"/>
  <c r="AS52" i="5"/>
  <c r="AS38" i="5"/>
  <c r="AS37" i="5"/>
  <c r="AS36" i="5"/>
  <c r="AS35" i="5"/>
  <c r="AS39" i="5"/>
  <c r="AS50" i="5"/>
  <c r="AS51" i="5"/>
  <c r="AS55" i="5"/>
  <c r="AS49" i="5"/>
  <c r="AS29" i="5"/>
  <c r="AS28" i="5"/>
  <c r="AS27" i="5"/>
  <c r="AS26" i="5"/>
  <c r="AS25" i="5"/>
  <c r="AS24" i="5"/>
  <c r="AS23" i="5"/>
  <c r="AS22" i="5"/>
  <c r="AS21" i="5"/>
  <c r="AS33" i="5" s="1"/>
  <c r="AS46" i="5"/>
  <c r="AS32" i="5"/>
  <c r="AS31" i="5"/>
  <c r="AS18" i="5"/>
  <c r="AS17" i="5"/>
  <c r="AS16" i="5"/>
  <c r="AS15" i="5"/>
  <c r="AS14" i="5"/>
  <c r="AS13" i="5"/>
  <c r="AS12" i="5"/>
  <c r="AS11" i="5"/>
  <c r="AS10" i="5"/>
  <c r="AS8" i="5"/>
  <c r="AS7" i="5"/>
  <c r="AS30" i="5"/>
  <c r="AT5" i="5"/>
  <c r="AS9" i="5"/>
  <c r="AR61" i="5"/>
  <c r="AS61" i="5" l="1"/>
  <c r="AS75" i="5"/>
  <c r="AS47" i="5"/>
  <c r="AT74" i="5"/>
  <c r="AT71" i="5"/>
  <c r="AT68" i="5"/>
  <c r="AT67" i="5"/>
  <c r="AT72" i="5"/>
  <c r="AT73" i="5"/>
  <c r="AT66" i="5"/>
  <c r="AT65" i="5"/>
  <c r="AT70" i="5"/>
  <c r="AT57" i="5"/>
  <c r="AT56" i="5"/>
  <c r="AT69" i="5"/>
  <c r="AT63" i="5"/>
  <c r="AT75" i="5" s="1"/>
  <c r="AT59" i="5"/>
  <c r="AT64" i="5"/>
  <c r="AT60" i="5"/>
  <c r="AT54" i="5"/>
  <c r="AT58" i="5"/>
  <c r="AT53" i="5"/>
  <c r="AT45" i="5"/>
  <c r="AT44" i="5"/>
  <c r="AT43" i="5"/>
  <c r="AT42" i="5"/>
  <c r="AT41" i="5"/>
  <c r="AT40" i="5"/>
  <c r="AT39" i="5"/>
  <c r="AT46" i="5"/>
  <c r="AT50" i="5"/>
  <c r="AT51" i="5"/>
  <c r="AT55" i="5"/>
  <c r="AT52" i="5"/>
  <c r="AT38" i="5"/>
  <c r="AT37" i="5"/>
  <c r="AT36" i="5"/>
  <c r="AT32" i="5"/>
  <c r="AT29" i="5"/>
  <c r="AT28" i="5"/>
  <c r="AT27" i="5"/>
  <c r="AT26" i="5"/>
  <c r="AT31" i="5"/>
  <c r="AT18" i="5"/>
  <c r="AU5" i="5"/>
  <c r="AT21" i="5"/>
  <c r="AT17" i="5"/>
  <c r="AT16" i="5"/>
  <c r="AT15" i="5"/>
  <c r="AT14" i="5"/>
  <c r="AT13" i="5"/>
  <c r="AT12" i="5"/>
  <c r="AT11" i="5"/>
  <c r="AT10" i="5"/>
  <c r="AT49" i="5"/>
  <c r="AT24" i="5"/>
  <c r="AT23" i="5"/>
  <c r="AT7" i="5"/>
  <c r="AT35" i="5"/>
  <c r="AT22" i="5"/>
  <c r="AT30" i="5"/>
  <c r="AT8" i="5"/>
  <c r="AT9" i="5"/>
  <c r="AT25" i="5"/>
  <c r="AS19" i="5"/>
  <c r="AT33" i="5" l="1"/>
  <c r="AT47" i="5"/>
  <c r="AU74" i="5"/>
  <c r="AU71" i="5"/>
  <c r="AU68" i="5"/>
  <c r="AU73" i="5"/>
  <c r="AU66" i="5"/>
  <c r="AU65" i="5"/>
  <c r="AU72" i="5"/>
  <c r="AU70" i="5"/>
  <c r="AU64" i="5"/>
  <c r="AU60" i="5"/>
  <c r="AU67" i="5"/>
  <c r="AU57" i="5"/>
  <c r="AU56" i="5"/>
  <c r="AU55" i="5"/>
  <c r="AU54" i="5"/>
  <c r="AU53" i="5"/>
  <c r="AU69" i="5"/>
  <c r="AU58" i="5"/>
  <c r="AU46" i="5"/>
  <c r="AU63" i="5"/>
  <c r="AU59" i="5"/>
  <c r="AU51" i="5"/>
  <c r="AU49" i="5"/>
  <c r="AU45" i="5"/>
  <c r="AU44" i="5"/>
  <c r="AU39" i="5"/>
  <c r="AU50" i="5"/>
  <c r="AU52" i="5"/>
  <c r="AU40" i="5"/>
  <c r="AU32" i="5"/>
  <c r="AU38" i="5"/>
  <c r="AU36" i="5"/>
  <c r="AU35" i="5"/>
  <c r="AU30" i="5"/>
  <c r="AU43" i="5"/>
  <c r="AU41" i="5"/>
  <c r="AU42" i="5"/>
  <c r="AU21" i="5"/>
  <c r="AU17" i="5"/>
  <c r="AU16" i="5"/>
  <c r="AU15" i="5"/>
  <c r="AU14" i="5"/>
  <c r="AU13" i="5"/>
  <c r="AU12" i="5"/>
  <c r="AU11" i="5"/>
  <c r="AU10" i="5"/>
  <c r="AU9" i="5"/>
  <c r="AU8" i="5"/>
  <c r="AU7" i="5"/>
  <c r="AU28" i="5"/>
  <c r="AU26" i="5"/>
  <c r="AU24" i="5"/>
  <c r="AU37" i="5"/>
  <c r="AU31" i="5"/>
  <c r="AU18" i="5"/>
  <c r="AV5" i="5"/>
  <c r="AU29" i="5"/>
  <c r="AU22" i="5"/>
  <c r="AU25" i="5"/>
  <c r="AU23" i="5"/>
  <c r="AU27" i="5"/>
  <c r="AT19" i="5"/>
  <c r="AT61" i="5"/>
  <c r="AU19" i="5" l="1"/>
  <c r="AU47" i="5"/>
  <c r="AU75" i="5"/>
  <c r="AV74" i="5"/>
  <c r="AV71" i="5"/>
  <c r="AV68" i="5"/>
  <c r="AV67" i="5"/>
  <c r="AV66" i="5"/>
  <c r="AV72" i="5"/>
  <c r="AV69" i="5"/>
  <c r="AV73" i="5"/>
  <c r="AV65" i="5"/>
  <c r="AV64" i="5"/>
  <c r="AV70" i="5"/>
  <c r="AV60" i="5"/>
  <c r="AV58" i="5"/>
  <c r="AV57" i="5"/>
  <c r="AV54" i="5"/>
  <c r="AV52" i="5"/>
  <c r="AV51" i="5"/>
  <c r="AV50" i="5"/>
  <c r="AV49" i="5"/>
  <c r="AV46" i="5"/>
  <c r="AV63" i="5"/>
  <c r="AV75" i="5" s="1"/>
  <c r="AV44" i="5"/>
  <c r="AV41" i="5"/>
  <c r="AV55" i="5"/>
  <c r="AV59" i="5"/>
  <c r="AV56" i="5"/>
  <c r="AV53" i="5"/>
  <c r="AV39" i="5"/>
  <c r="AV38" i="5"/>
  <c r="AV36" i="5"/>
  <c r="AV35" i="5"/>
  <c r="AV30" i="5"/>
  <c r="AV42" i="5"/>
  <c r="AV40" i="5"/>
  <c r="AV32" i="5"/>
  <c r="AV28" i="5"/>
  <c r="AV26" i="5"/>
  <c r="AV24" i="5"/>
  <c r="AV37" i="5"/>
  <c r="AV22" i="5"/>
  <c r="AV43" i="5"/>
  <c r="AV21" i="5"/>
  <c r="AV17" i="5"/>
  <c r="AV16" i="5"/>
  <c r="AV15" i="5"/>
  <c r="AV14" i="5"/>
  <c r="AV13" i="5"/>
  <c r="AV12" i="5"/>
  <c r="AV11" i="5"/>
  <c r="AV10" i="5"/>
  <c r="AV9" i="5"/>
  <c r="AV8" i="5"/>
  <c r="AV7" i="5"/>
  <c r="AV19" i="5" s="1"/>
  <c r="AV45" i="5"/>
  <c r="AW5" i="5"/>
  <c r="AV31" i="5"/>
  <c r="AV27" i="5"/>
  <c r="AV29" i="5"/>
  <c r="AV18" i="5"/>
  <c r="AV23" i="5"/>
  <c r="AV25" i="5"/>
  <c r="AU33" i="5"/>
  <c r="AU61" i="5"/>
  <c r="AV61" i="5" l="1"/>
  <c r="AV33" i="5"/>
  <c r="AW74" i="5"/>
  <c r="AW72" i="5"/>
  <c r="AW69" i="5"/>
  <c r="AW73" i="5"/>
  <c r="AW71" i="5"/>
  <c r="AW66" i="5"/>
  <c r="AW65" i="5"/>
  <c r="AW64" i="5"/>
  <c r="AW70" i="5"/>
  <c r="AW68" i="5"/>
  <c r="AW60" i="5"/>
  <c r="AW59" i="5"/>
  <c r="AW58" i="5"/>
  <c r="AW57" i="5"/>
  <c r="AW67" i="5"/>
  <c r="AW54" i="5"/>
  <c r="AW52" i="5"/>
  <c r="AW51" i="5"/>
  <c r="AW50" i="5"/>
  <c r="AW49" i="5"/>
  <c r="AW46" i="5"/>
  <c r="AW63" i="5"/>
  <c r="AW75" i="5" s="1"/>
  <c r="AW55" i="5"/>
  <c r="AW53" i="5"/>
  <c r="AW41" i="5"/>
  <c r="AW42" i="5"/>
  <c r="AW40" i="5"/>
  <c r="AW56" i="5"/>
  <c r="AW44" i="5"/>
  <c r="AW38" i="5"/>
  <c r="AW36" i="5"/>
  <c r="AW35" i="5"/>
  <c r="AW30" i="5"/>
  <c r="AW37" i="5"/>
  <c r="AW22" i="5"/>
  <c r="AW25" i="5"/>
  <c r="AW32" i="5"/>
  <c r="AW28" i="5"/>
  <c r="AW26" i="5"/>
  <c r="AW24" i="5"/>
  <c r="AW21" i="5"/>
  <c r="AW7" i="5"/>
  <c r="AW45" i="5"/>
  <c r="AX5" i="5"/>
  <c r="AW43" i="5"/>
  <c r="AW39" i="5"/>
  <c r="AW23" i="5"/>
  <c r="AW16" i="5"/>
  <c r="AW14" i="5"/>
  <c r="AW12" i="5"/>
  <c r="AW10" i="5"/>
  <c r="AW31" i="5"/>
  <c r="AW27" i="5"/>
  <c r="AW8" i="5"/>
  <c r="AW15" i="5"/>
  <c r="AW11" i="5"/>
  <c r="AW17" i="5"/>
  <c r="AW9" i="5"/>
  <c r="AW29" i="5"/>
  <c r="AW18" i="5"/>
  <c r="AW13" i="5"/>
  <c r="AV47" i="5"/>
  <c r="AX72" i="5" l="1"/>
  <c r="AX69" i="5"/>
  <c r="AX73" i="5"/>
  <c r="AX71" i="5"/>
  <c r="AX70" i="5"/>
  <c r="AX66" i="5"/>
  <c r="AX68" i="5"/>
  <c r="AX60" i="5"/>
  <c r="AX74" i="5"/>
  <c r="AX65" i="5"/>
  <c r="AX67" i="5"/>
  <c r="AX64" i="5"/>
  <c r="AX63" i="5"/>
  <c r="AX58" i="5"/>
  <c r="AX59" i="5"/>
  <c r="AX52" i="5"/>
  <c r="AX51" i="5"/>
  <c r="AX50" i="5"/>
  <c r="AX49" i="5"/>
  <c r="AX55" i="5"/>
  <c r="AX57" i="5"/>
  <c r="AX54" i="5"/>
  <c r="AX53" i="5"/>
  <c r="AX46" i="5"/>
  <c r="AX41" i="5"/>
  <c r="AX32" i="5"/>
  <c r="AX31" i="5"/>
  <c r="AX30" i="5"/>
  <c r="AX42" i="5"/>
  <c r="AX40" i="5"/>
  <c r="AX45" i="5"/>
  <c r="AX43" i="5"/>
  <c r="AX56" i="5"/>
  <c r="AX18" i="5"/>
  <c r="AX38" i="5"/>
  <c r="AX36" i="5"/>
  <c r="AX35" i="5"/>
  <c r="AX22" i="5"/>
  <c r="AX25" i="5"/>
  <c r="AX29" i="5"/>
  <c r="AX27" i="5"/>
  <c r="AX44" i="5"/>
  <c r="AX37" i="5"/>
  <c r="AY5" i="5"/>
  <c r="AX39" i="5"/>
  <c r="AX23" i="5"/>
  <c r="AX16" i="5"/>
  <c r="AX14" i="5"/>
  <c r="AX12" i="5"/>
  <c r="AX10" i="5"/>
  <c r="AX26" i="5"/>
  <c r="AX21" i="5"/>
  <c r="AX7" i="5"/>
  <c r="AX15" i="5"/>
  <c r="AX13" i="5"/>
  <c r="AX11" i="5"/>
  <c r="AX9" i="5"/>
  <c r="AX17" i="5"/>
  <c r="AX28" i="5"/>
  <c r="AX24" i="5"/>
  <c r="AX8" i="5"/>
  <c r="AW19" i="5"/>
  <c r="AW33" i="5"/>
  <c r="AW47" i="5"/>
  <c r="AW61" i="5"/>
  <c r="AX47" i="5" l="1"/>
  <c r="AX75" i="5"/>
  <c r="AX61" i="5"/>
  <c r="AX33" i="5"/>
  <c r="AY73" i="5"/>
  <c r="AY72" i="5"/>
  <c r="AY70" i="5"/>
  <c r="AY74" i="5"/>
  <c r="AY69" i="5"/>
  <c r="AY71" i="5"/>
  <c r="AY68" i="5"/>
  <c r="AY67" i="5"/>
  <c r="AY65" i="5"/>
  <c r="AY66" i="5"/>
  <c r="AY64" i="5"/>
  <c r="AY63" i="5"/>
  <c r="AY59" i="5"/>
  <c r="AY60" i="5"/>
  <c r="AY58" i="5"/>
  <c r="AY55" i="5"/>
  <c r="AY52" i="5"/>
  <c r="AY51" i="5"/>
  <c r="AY53" i="5"/>
  <c r="AY54" i="5"/>
  <c r="AY56" i="5"/>
  <c r="AY50" i="5"/>
  <c r="AY49" i="5"/>
  <c r="AY42" i="5"/>
  <c r="AY40" i="5"/>
  <c r="AY45" i="5"/>
  <c r="AY43" i="5"/>
  <c r="AY46" i="5"/>
  <c r="AY38" i="5"/>
  <c r="AY37" i="5"/>
  <c r="AY36" i="5"/>
  <c r="AY35" i="5"/>
  <c r="AY57" i="5"/>
  <c r="AY41" i="5"/>
  <c r="AY44" i="5"/>
  <c r="AY31" i="5"/>
  <c r="AY29" i="5"/>
  <c r="AY28" i="5"/>
  <c r="AY27" i="5"/>
  <c r="AY26" i="5"/>
  <c r="AY30" i="5"/>
  <c r="AY25" i="5"/>
  <c r="AY23" i="5"/>
  <c r="AY22" i="5"/>
  <c r="AY39" i="5"/>
  <c r="AY16" i="5"/>
  <c r="AY14" i="5"/>
  <c r="AY12" i="5"/>
  <c r="AY10" i="5"/>
  <c r="AY24" i="5"/>
  <c r="AY9" i="5"/>
  <c r="AY32" i="5"/>
  <c r="AZ5" i="5"/>
  <c r="AY8" i="5"/>
  <c r="AY21" i="5"/>
  <c r="AY17" i="5"/>
  <c r="AY7" i="5"/>
  <c r="AY11" i="5"/>
  <c r="AY13" i="5"/>
  <c r="AY18" i="5"/>
  <c r="AY15" i="5"/>
  <c r="AX19" i="5"/>
  <c r="AY75" i="5" l="1"/>
  <c r="AY47" i="5"/>
  <c r="AY61" i="5"/>
  <c r="AY19" i="5"/>
  <c r="AY33" i="5"/>
  <c r="AZ73" i="5"/>
  <c r="AZ72" i="5"/>
  <c r="AZ70" i="5"/>
  <c r="AZ74" i="5"/>
  <c r="AZ71" i="5"/>
  <c r="AZ68" i="5"/>
  <c r="AZ67" i="5"/>
  <c r="AZ69" i="5"/>
  <c r="AZ66" i="5"/>
  <c r="AZ64" i="5"/>
  <c r="AZ63" i="5"/>
  <c r="AZ75" i="5" s="1"/>
  <c r="AZ59" i="5"/>
  <c r="AZ65" i="5"/>
  <c r="AZ60" i="5"/>
  <c r="AZ55" i="5"/>
  <c r="AZ56" i="5"/>
  <c r="AZ53" i="5"/>
  <c r="AZ54" i="5"/>
  <c r="AZ51" i="5"/>
  <c r="AZ50" i="5"/>
  <c r="AZ45" i="5"/>
  <c r="AZ44" i="5"/>
  <c r="AZ43" i="5"/>
  <c r="AZ42" i="5"/>
  <c r="AZ41" i="5"/>
  <c r="AZ46" i="5"/>
  <c r="AZ38" i="5"/>
  <c r="AZ37" i="5"/>
  <c r="AZ36" i="5"/>
  <c r="AZ35" i="5"/>
  <c r="AZ52" i="5"/>
  <c r="AZ57" i="5"/>
  <c r="AZ58" i="5"/>
  <c r="AZ40" i="5"/>
  <c r="AZ31" i="5"/>
  <c r="AZ29" i="5"/>
  <c r="AZ28" i="5"/>
  <c r="AZ27" i="5"/>
  <c r="AZ26" i="5"/>
  <c r="AZ49" i="5"/>
  <c r="AZ23" i="5"/>
  <c r="AZ39" i="5"/>
  <c r="AZ25" i="5"/>
  <c r="AZ22" i="5"/>
  <c r="AZ24" i="5"/>
  <c r="AZ9" i="5"/>
  <c r="AZ30" i="5"/>
  <c r="AZ18" i="5"/>
  <c r="AZ32" i="5"/>
  <c r="AZ16" i="5"/>
  <c r="AZ14" i="5"/>
  <c r="AZ12" i="5"/>
  <c r="AZ10" i="5"/>
  <c r="AZ21" i="5"/>
  <c r="AZ17" i="5"/>
  <c r="AZ7" i="5"/>
  <c r="AZ13" i="5"/>
  <c r="AZ11" i="5"/>
  <c r="BA5" i="5"/>
  <c r="AZ8" i="5"/>
  <c r="AZ15" i="5"/>
  <c r="AZ19" i="5" l="1"/>
  <c r="AZ33" i="5"/>
  <c r="AZ47" i="5"/>
  <c r="BA73" i="5"/>
  <c r="BA72" i="5"/>
  <c r="BA71" i="5"/>
  <c r="BA70" i="5"/>
  <c r="BA69" i="5"/>
  <c r="BA74" i="5"/>
  <c r="BA68" i="5"/>
  <c r="BA67" i="5"/>
  <c r="BA63" i="5"/>
  <c r="BA66" i="5"/>
  <c r="BA65" i="5"/>
  <c r="BA60" i="5"/>
  <c r="BA64" i="5"/>
  <c r="BA56" i="5"/>
  <c r="BA59" i="5"/>
  <c r="BA53" i="5"/>
  <c r="BA55" i="5"/>
  <c r="BA51" i="5"/>
  <c r="BA50" i="5"/>
  <c r="BA45" i="5"/>
  <c r="BA44" i="5"/>
  <c r="BA43" i="5"/>
  <c r="BA42" i="5"/>
  <c r="BA41" i="5"/>
  <c r="BA40" i="5"/>
  <c r="BA57" i="5"/>
  <c r="BA54" i="5"/>
  <c r="BA46" i="5"/>
  <c r="BA38" i="5"/>
  <c r="BA37" i="5"/>
  <c r="BA36" i="5"/>
  <c r="BA35" i="5"/>
  <c r="BA39" i="5"/>
  <c r="BA52" i="5"/>
  <c r="BA58" i="5"/>
  <c r="BA31" i="5"/>
  <c r="BA29" i="5"/>
  <c r="BA28" i="5"/>
  <c r="BA27" i="5"/>
  <c r="BA26" i="5"/>
  <c r="BA25" i="5"/>
  <c r="BA24" i="5"/>
  <c r="BA23" i="5"/>
  <c r="BA22" i="5"/>
  <c r="BA21" i="5"/>
  <c r="BA33" i="5" s="1"/>
  <c r="BA49" i="5"/>
  <c r="BA18" i="5"/>
  <c r="BA17" i="5"/>
  <c r="BA16" i="5"/>
  <c r="BA15" i="5"/>
  <c r="BA14" i="5"/>
  <c r="BA13" i="5"/>
  <c r="BA12" i="5"/>
  <c r="BA11" i="5"/>
  <c r="BA10" i="5"/>
  <c r="BA9" i="5"/>
  <c r="BA30" i="5"/>
  <c r="BA32" i="5"/>
  <c r="BA8" i="5"/>
  <c r="BA7" i="5"/>
  <c r="BB5" i="5"/>
  <c r="AZ61" i="5"/>
  <c r="BB74" i="5" l="1"/>
  <c r="BB73" i="5"/>
  <c r="BB70" i="5"/>
  <c r="BB68" i="5"/>
  <c r="BB67" i="5"/>
  <c r="BB72" i="5"/>
  <c r="BB71" i="5"/>
  <c r="BB69" i="5"/>
  <c r="BB64" i="5"/>
  <c r="BB56" i="5"/>
  <c r="BB63" i="5"/>
  <c r="BB57" i="5"/>
  <c r="BB66" i="5"/>
  <c r="BB65" i="5"/>
  <c r="BB60" i="5"/>
  <c r="BB53" i="5"/>
  <c r="BB45" i="5"/>
  <c r="BB44" i="5"/>
  <c r="BB43" i="5"/>
  <c r="BB42" i="5"/>
  <c r="BB41" i="5"/>
  <c r="BB40" i="5"/>
  <c r="BB39" i="5"/>
  <c r="BB55" i="5"/>
  <c r="BB59" i="5"/>
  <c r="BB58" i="5"/>
  <c r="BB52" i="5"/>
  <c r="BB51" i="5"/>
  <c r="BB50" i="5"/>
  <c r="BB54" i="5"/>
  <c r="BB46" i="5"/>
  <c r="BB38" i="5"/>
  <c r="BB37" i="5"/>
  <c r="BB36" i="5"/>
  <c r="BB49" i="5"/>
  <c r="BB32" i="5"/>
  <c r="BB31" i="5"/>
  <c r="BB29" i="5"/>
  <c r="BB28" i="5"/>
  <c r="BB27" i="5"/>
  <c r="BB26" i="5"/>
  <c r="BB23" i="5"/>
  <c r="BC5" i="5"/>
  <c r="BB18" i="5"/>
  <c r="BB17" i="5"/>
  <c r="BB16" i="5"/>
  <c r="BB15" i="5"/>
  <c r="BB14" i="5"/>
  <c r="BB13" i="5"/>
  <c r="BB12" i="5"/>
  <c r="BB11" i="5"/>
  <c r="BB10" i="5"/>
  <c r="BB30" i="5"/>
  <c r="BB21" i="5"/>
  <c r="BB24" i="5"/>
  <c r="BB35" i="5"/>
  <c r="BB8" i="5"/>
  <c r="BB22" i="5"/>
  <c r="BB9" i="5"/>
  <c r="BB25" i="5"/>
  <c r="BB7" i="5"/>
  <c r="BA19" i="5"/>
  <c r="BA75" i="5"/>
  <c r="BA47" i="5"/>
  <c r="BA61" i="5"/>
  <c r="BB47" i="5" l="1"/>
  <c r="BB61" i="5"/>
  <c r="BB75" i="5"/>
  <c r="BB19" i="5"/>
  <c r="BC74" i="5"/>
  <c r="BC73" i="5"/>
  <c r="BC68" i="5"/>
  <c r="BC71" i="5"/>
  <c r="BC72" i="5"/>
  <c r="BC70" i="5"/>
  <c r="BC69" i="5"/>
  <c r="BC66" i="5"/>
  <c r="BC65" i="5"/>
  <c r="BC67" i="5"/>
  <c r="BC60" i="5"/>
  <c r="BC64" i="5"/>
  <c r="BC56" i="5"/>
  <c r="BC55" i="5"/>
  <c r="BC54" i="5"/>
  <c r="BC53" i="5"/>
  <c r="BC63" i="5"/>
  <c r="BC57" i="5"/>
  <c r="BC46" i="5"/>
  <c r="BC45" i="5"/>
  <c r="BC59" i="5"/>
  <c r="BC58" i="5"/>
  <c r="BC52" i="5"/>
  <c r="BC44" i="5"/>
  <c r="BC43" i="5"/>
  <c r="BC50" i="5"/>
  <c r="BC39" i="5"/>
  <c r="BC49" i="5"/>
  <c r="BC61" i="5" s="1"/>
  <c r="BC51" i="5"/>
  <c r="BC42" i="5"/>
  <c r="BC32" i="5"/>
  <c r="BC37" i="5"/>
  <c r="BC18" i="5"/>
  <c r="BC17" i="5"/>
  <c r="BC16" i="5"/>
  <c r="BC15" i="5"/>
  <c r="BC14" i="5"/>
  <c r="BC13" i="5"/>
  <c r="BC12" i="5"/>
  <c r="BC11" i="5"/>
  <c r="BC10" i="5"/>
  <c r="BC9" i="5"/>
  <c r="BC8" i="5"/>
  <c r="BC7" i="5"/>
  <c r="BC19" i="5" s="1"/>
  <c r="BC38" i="5"/>
  <c r="BC30" i="5"/>
  <c r="BC29" i="5"/>
  <c r="BC27" i="5"/>
  <c r="BC21" i="5"/>
  <c r="BC35" i="5"/>
  <c r="BC24" i="5"/>
  <c r="BC23" i="5"/>
  <c r="BD5" i="5"/>
  <c r="BC26" i="5"/>
  <c r="BC40" i="5"/>
  <c r="BC31" i="5"/>
  <c r="BC25" i="5"/>
  <c r="BC36" i="5"/>
  <c r="BC28" i="5"/>
  <c r="BC41" i="5"/>
  <c r="BC22" i="5"/>
  <c r="BB33" i="5"/>
  <c r="BC47" i="5" l="1"/>
  <c r="BC33" i="5"/>
  <c r="BC75" i="5"/>
  <c r="BD74" i="5"/>
  <c r="BD68" i="5"/>
  <c r="BD67" i="5"/>
  <c r="BD66" i="5"/>
  <c r="BD71" i="5"/>
  <c r="BD73" i="5"/>
  <c r="BD70" i="5"/>
  <c r="BD65" i="5"/>
  <c r="BD64" i="5"/>
  <c r="BD69" i="5"/>
  <c r="BD72" i="5"/>
  <c r="BD60" i="5"/>
  <c r="BD63" i="5"/>
  <c r="BD57" i="5"/>
  <c r="BD58" i="5"/>
  <c r="BD56" i="5"/>
  <c r="BD54" i="5"/>
  <c r="BD52" i="5"/>
  <c r="BD51" i="5"/>
  <c r="BD50" i="5"/>
  <c r="BD53" i="5"/>
  <c r="BD59" i="5"/>
  <c r="BD55" i="5"/>
  <c r="BD49" i="5"/>
  <c r="BD46" i="5"/>
  <c r="BD45" i="5"/>
  <c r="BD39" i="5"/>
  <c r="BD43" i="5"/>
  <c r="BD32" i="5"/>
  <c r="BD44" i="5"/>
  <c r="BD42" i="5"/>
  <c r="BD37" i="5"/>
  <c r="BD30" i="5"/>
  <c r="BD38" i="5"/>
  <c r="BD29" i="5"/>
  <c r="BD27" i="5"/>
  <c r="BD21" i="5"/>
  <c r="BD35" i="5"/>
  <c r="BD24" i="5"/>
  <c r="BD18" i="5"/>
  <c r="BD17" i="5"/>
  <c r="BD16" i="5"/>
  <c r="BD15" i="5"/>
  <c r="BD14" i="5"/>
  <c r="BD13" i="5"/>
  <c r="BD12" i="5"/>
  <c r="BD11" i="5"/>
  <c r="BD10" i="5"/>
  <c r="BD9" i="5"/>
  <c r="BD8" i="5"/>
  <c r="BD7" i="5"/>
  <c r="BD26" i="5"/>
  <c r="BD23" i="5"/>
  <c r="BD40" i="5"/>
  <c r="BD31" i="5"/>
  <c r="BD25" i="5"/>
  <c r="BD36" i="5"/>
  <c r="BD28" i="5"/>
  <c r="BD41" i="5"/>
  <c r="BD22" i="5"/>
  <c r="BE5" i="5"/>
  <c r="BD33" i="5" l="1"/>
  <c r="BD75" i="5"/>
  <c r="BE74" i="5"/>
  <c r="BE71" i="5"/>
  <c r="BE69" i="5"/>
  <c r="BE70" i="5"/>
  <c r="BE65" i="5"/>
  <c r="BE64" i="5"/>
  <c r="BE63" i="5"/>
  <c r="BE66" i="5"/>
  <c r="BE73" i="5"/>
  <c r="BE68" i="5"/>
  <c r="BE72" i="5"/>
  <c r="BE67" i="5"/>
  <c r="BE60" i="5"/>
  <c r="BE59" i="5"/>
  <c r="BE58" i="5"/>
  <c r="BE57" i="5"/>
  <c r="BE56" i="5"/>
  <c r="BE54" i="5"/>
  <c r="BE52" i="5"/>
  <c r="BE51" i="5"/>
  <c r="BE50" i="5"/>
  <c r="BE49" i="5"/>
  <c r="BE46" i="5"/>
  <c r="BE55" i="5"/>
  <c r="BE53" i="5"/>
  <c r="BE45" i="5"/>
  <c r="BE39" i="5"/>
  <c r="BE44" i="5"/>
  <c r="BE42" i="5"/>
  <c r="BE37" i="5"/>
  <c r="BE30" i="5"/>
  <c r="BE32" i="5"/>
  <c r="BE35" i="5"/>
  <c r="BE24" i="5"/>
  <c r="BE41" i="5"/>
  <c r="BE31" i="5"/>
  <c r="BE22" i="5"/>
  <c r="BE38" i="5"/>
  <c r="BE29" i="5"/>
  <c r="BE27" i="5"/>
  <c r="BE21" i="5"/>
  <c r="BE40" i="5"/>
  <c r="BE25" i="5"/>
  <c r="BE8" i="5"/>
  <c r="BE43" i="5"/>
  <c r="BE18" i="5"/>
  <c r="BE36" i="5"/>
  <c r="BE28" i="5"/>
  <c r="BE17" i="5"/>
  <c r="BE15" i="5"/>
  <c r="BE13" i="5"/>
  <c r="BE11" i="5"/>
  <c r="BE7" i="5"/>
  <c r="BE26" i="5"/>
  <c r="BE23" i="5"/>
  <c r="BE14" i="5"/>
  <c r="BE10" i="5"/>
  <c r="BE12" i="5"/>
  <c r="BE9" i="5"/>
  <c r="BE16" i="5"/>
  <c r="BF5" i="5"/>
  <c r="BD19" i="5"/>
  <c r="BD61" i="5"/>
  <c r="BD47" i="5"/>
  <c r="BF69" i="5" l="1"/>
  <c r="BF74" i="5"/>
  <c r="BF73" i="5"/>
  <c r="BF66" i="5"/>
  <c r="BF71" i="5"/>
  <c r="BF70" i="5"/>
  <c r="BF72" i="5"/>
  <c r="BF67" i="5"/>
  <c r="BF60" i="5"/>
  <c r="BF68" i="5"/>
  <c r="BF58" i="5"/>
  <c r="BF64" i="5"/>
  <c r="BF63" i="5"/>
  <c r="BF57" i="5"/>
  <c r="BF54" i="5"/>
  <c r="BF52" i="5"/>
  <c r="BF51" i="5"/>
  <c r="BF50" i="5"/>
  <c r="BF49" i="5"/>
  <c r="BF65" i="5"/>
  <c r="BF59" i="5"/>
  <c r="BF56" i="5"/>
  <c r="BF46" i="5"/>
  <c r="BF32" i="5"/>
  <c r="BF31" i="5"/>
  <c r="BF30" i="5"/>
  <c r="BF44" i="5"/>
  <c r="BF55" i="5"/>
  <c r="BF53" i="5"/>
  <c r="BF45" i="5"/>
  <c r="BF18" i="5"/>
  <c r="BF39" i="5"/>
  <c r="BF35" i="5"/>
  <c r="BF42" i="5"/>
  <c r="BF37" i="5"/>
  <c r="BF41" i="5"/>
  <c r="BF22" i="5"/>
  <c r="BF40" i="5"/>
  <c r="BF28" i="5"/>
  <c r="BF26" i="5"/>
  <c r="BF25" i="5"/>
  <c r="BF24" i="5"/>
  <c r="BF43" i="5"/>
  <c r="BF36" i="5"/>
  <c r="BF17" i="5"/>
  <c r="BF15" i="5"/>
  <c r="BF13" i="5"/>
  <c r="BF11" i="5"/>
  <c r="BF7" i="5"/>
  <c r="BF27" i="5"/>
  <c r="BG5" i="5"/>
  <c r="BF38" i="5"/>
  <c r="BF8" i="5"/>
  <c r="BF23" i="5"/>
  <c r="BF10" i="5"/>
  <c r="BF12" i="5"/>
  <c r="BF9" i="5"/>
  <c r="BF14" i="5"/>
  <c r="BF29" i="5"/>
  <c r="BF16" i="5"/>
  <c r="BF21" i="5"/>
  <c r="BE33" i="5"/>
  <c r="BE47" i="5"/>
  <c r="BE61" i="5"/>
  <c r="BE19" i="5"/>
  <c r="BE75" i="5"/>
  <c r="BF61" i="5" l="1"/>
  <c r="BF33" i="5"/>
  <c r="BF75" i="5"/>
  <c r="BG72" i="5"/>
  <c r="BG69" i="5"/>
  <c r="BG74" i="5"/>
  <c r="BG73" i="5"/>
  <c r="BG66" i="5"/>
  <c r="BG65" i="5"/>
  <c r="BG64" i="5"/>
  <c r="BG63" i="5"/>
  <c r="BG70" i="5"/>
  <c r="BG68" i="5"/>
  <c r="BG58" i="5"/>
  <c r="BG59" i="5"/>
  <c r="BG71" i="5"/>
  <c r="BG67" i="5"/>
  <c r="BG60" i="5"/>
  <c r="BG55" i="5"/>
  <c r="BG54" i="5"/>
  <c r="BG52" i="5"/>
  <c r="BG51" i="5"/>
  <c r="BG49" i="5"/>
  <c r="BG57" i="5"/>
  <c r="BG56" i="5"/>
  <c r="BG46" i="5"/>
  <c r="BG50" i="5"/>
  <c r="BG44" i="5"/>
  <c r="BG41" i="5"/>
  <c r="BG40" i="5"/>
  <c r="BG38" i="5"/>
  <c r="BG37" i="5"/>
  <c r="BG36" i="5"/>
  <c r="BG35" i="5"/>
  <c r="BG53" i="5"/>
  <c r="BG30" i="5"/>
  <c r="BG39" i="5"/>
  <c r="BG43" i="5"/>
  <c r="BG29" i="5"/>
  <c r="BG28" i="5"/>
  <c r="BG27" i="5"/>
  <c r="BG26" i="5"/>
  <c r="BG22" i="5"/>
  <c r="BG31" i="5"/>
  <c r="BG25" i="5"/>
  <c r="BG45" i="5"/>
  <c r="BG42" i="5"/>
  <c r="BG18" i="5"/>
  <c r="BG17" i="5"/>
  <c r="BG15" i="5"/>
  <c r="BG13" i="5"/>
  <c r="BG11" i="5"/>
  <c r="BG7" i="5"/>
  <c r="BG32" i="5"/>
  <c r="BH5" i="5"/>
  <c r="BG24" i="5"/>
  <c r="BG16" i="5"/>
  <c r="BG12" i="5"/>
  <c r="BG9" i="5"/>
  <c r="BG14" i="5"/>
  <c r="BG8" i="5"/>
  <c r="BG21" i="5"/>
  <c r="BG23" i="5"/>
  <c r="BG10" i="5"/>
  <c r="BF19" i="5"/>
  <c r="BF47" i="5"/>
  <c r="BG61" i="5" l="1"/>
  <c r="BG33" i="5"/>
  <c r="BG75" i="5"/>
  <c r="BH72" i="5"/>
  <c r="BH73" i="5"/>
  <c r="BH74" i="5"/>
  <c r="BH70" i="5"/>
  <c r="BH71" i="5"/>
  <c r="BH65" i="5"/>
  <c r="BH64" i="5"/>
  <c r="BH63" i="5"/>
  <c r="BH69" i="5"/>
  <c r="BH59" i="5"/>
  <c r="BH68" i="5"/>
  <c r="BH58" i="5"/>
  <c r="BH55" i="5"/>
  <c r="BH67" i="5"/>
  <c r="BH66" i="5"/>
  <c r="BH57" i="5"/>
  <c r="BH60" i="5"/>
  <c r="BH56" i="5"/>
  <c r="BH52" i="5"/>
  <c r="BH44" i="5"/>
  <c r="BH43" i="5"/>
  <c r="BH42" i="5"/>
  <c r="BH41" i="5"/>
  <c r="BH49" i="5"/>
  <c r="BH40" i="5"/>
  <c r="BH38" i="5"/>
  <c r="BH37" i="5"/>
  <c r="BH36" i="5"/>
  <c r="BH35" i="5"/>
  <c r="BH47" i="5" s="1"/>
  <c r="BH51" i="5"/>
  <c r="BH54" i="5"/>
  <c r="BH53" i="5"/>
  <c r="BH50" i="5"/>
  <c r="BH39" i="5"/>
  <c r="BH46" i="5"/>
  <c r="BH29" i="5"/>
  <c r="BH28" i="5"/>
  <c r="BH27" i="5"/>
  <c r="BH26" i="5"/>
  <c r="BH45" i="5"/>
  <c r="BH31" i="5"/>
  <c r="BH30" i="5"/>
  <c r="BH25" i="5"/>
  <c r="BH32" i="5"/>
  <c r="BH23" i="5"/>
  <c r="BH22" i="5"/>
  <c r="BI5" i="5"/>
  <c r="BH21" i="5"/>
  <c r="BH18" i="5"/>
  <c r="BH17" i="5"/>
  <c r="BH15" i="5"/>
  <c r="BH13" i="5"/>
  <c r="BH11" i="5"/>
  <c r="BH7" i="5"/>
  <c r="BH12" i="5"/>
  <c r="BH9" i="5"/>
  <c r="BH14" i="5"/>
  <c r="BH10" i="5"/>
  <c r="BH8" i="5"/>
  <c r="BH16" i="5"/>
  <c r="BH24" i="5"/>
  <c r="BG19" i="5"/>
  <c r="BG47" i="5"/>
  <c r="BH61" i="5" l="1"/>
  <c r="BH75" i="5"/>
  <c r="BI72" i="5"/>
  <c r="BI71" i="5"/>
  <c r="BI70" i="5"/>
  <c r="BI69" i="5"/>
  <c r="BI73" i="5"/>
  <c r="BI74" i="5"/>
  <c r="BI67" i="5"/>
  <c r="BI65" i="5"/>
  <c r="BI64" i="5"/>
  <c r="BI63" i="5"/>
  <c r="BI59" i="5"/>
  <c r="BI56" i="5"/>
  <c r="BI55" i="5"/>
  <c r="BI66" i="5"/>
  <c r="BI57" i="5"/>
  <c r="BI58" i="5"/>
  <c r="BI53" i="5"/>
  <c r="BI44" i="5"/>
  <c r="BI43" i="5"/>
  <c r="BI42" i="5"/>
  <c r="BI41" i="5"/>
  <c r="BI40" i="5"/>
  <c r="BI68" i="5"/>
  <c r="BI45" i="5"/>
  <c r="BI60" i="5"/>
  <c r="BI52" i="5"/>
  <c r="BI38" i="5"/>
  <c r="BI37" i="5"/>
  <c r="BI36" i="5"/>
  <c r="BI35" i="5"/>
  <c r="BI51" i="5"/>
  <c r="BI49" i="5"/>
  <c r="BI54" i="5"/>
  <c r="BI50" i="5"/>
  <c r="BI46" i="5"/>
  <c r="BI29" i="5"/>
  <c r="BI28" i="5"/>
  <c r="BI27" i="5"/>
  <c r="BI26" i="5"/>
  <c r="BI25" i="5"/>
  <c r="BI24" i="5"/>
  <c r="BI23" i="5"/>
  <c r="BI22" i="5"/>
  <c r="BI21" i="5"/>
  <c r="BI31" i="5"/>
  <c r="BI39" i="5"/>
  <c r="BI30" i="5"/>
  <c r="BI32" i="5"/>
  <c r="BI17" i="5"/>
  <c r="BI16" i="5"/>
  <c r="BI15" i="5"/>
  <c r="BI14" i="5"/>
  <c r="BI13" i="5"/>
  <c r="BI12" i="5"/>
  <c r="BI11" i="5"/>
  <c r="BI10" i="5"/>
  <c r="BI9" i="5"/>
  <c r="BJ5" i="5"/>
  <c r="BI18" i="5"/>
  <c r="BI8" i="5"/>
  <c r="BI7" i="5"/>
  <c r="BH33" i="5"/>
  <c r="BH19" i="5"/>
  <c r="BI19" i="5" l="1"/>
  <c r="BI33" i="5"/>
  <c r="BJ73" i="5"/>
  <c r="BJ74" i="5"/>
  <c r="BJ70" i="5"/>
  <c r="BJ72" i="5"/>
  <c r="BJ68" i="5"/>
  <c r="BJ67" i="5"/>
  <c r="BJ71" i="5"/>
  <c r="BJ65" i="5"/>
  <c r="BJ64" i="5"/>
  <c r="BJ63" i="5"/>
  <c r="BJ69" i="5"/>
  <c r="BJ66" i="5"/>
  <c r="BJ56" i="5"/>
  <c r="BJ59" i="5"/>
  <c r="BJ57" i="5"/>
  <c r="BJ58" i="5"/>
  <c r="BJ53" i="5"/>
  <c r="BJ55" i="5"/>
  <c r="BJ44" i="5"/>
  <c r="BJ43" i="5"/>
  <c r="BJ42" i="5"/>
  <c r="BJ41" i="5"/>
  <c r="BJ40" i="5"/>
  <c r="BJ39" i="5"/>
  <c r="BJ45" i="5"/>
  <c r="BJ50" i="5"/>
  <c r="BJ51" i="5"/>
  <c r="BJ49" i="5"/>
  <c r="BJ54" i="5"/>
  <c r="BJ52" i="5"/>
  <c r="BJ60" i="5"/>
  <c r="BJ38" i="5"/>
  <c r="BJ37" i="5"/>
  <c r="BJ36" i="5"/>
  <c r="BJ31" i="5"/>
  <c r="BJ35" i="5"/>
  <c r="BJ46" i="5"/>
  <c r="BJ29" i="5"/>
  <c r="BJ28" i="5"/>
  <c r="BJ27" i="5"/>
  <c r="BJ26" i="5"/>
  <c r="BJ32" i="5"/>
  <c r="BK5" i="5"/>
  <c r="BJ23" i="5"/>
  <c r="BJ17" i="5"/>
  <c r="BJ16" i="5"/>
  <c r="BJ15" i="5"/>
  <c r="BJ14" i="5"/>
  <c r="BJ13" i="5"/>
  <c r="BJ12" i="5"/>
  <c r="BJ11" i="5"/>
  <c r="BJ10" i="5"/>
  <c r="BJ18" i="5"/>
  <c r="BJ30" i="5"/>
  <c r="BJ25" i="5"/>
  <c r="BJ21" i="5"/>
  <c r="BJ9" i="5"/>
  <c r="BJ7" i="5"/>
  <c r="BJ8" i="5"/>
  <c r="BJ24" i="5"/>
  <c r="BJ22" i="5"/>
  <c r="BI61" i="5"/>
  <c r="BI47" i="5"/>
  <c r="BI75" i="5"/>
  <c r="BJ75" i="5" l="1"/>
  <c r="BJ47" i="5"/>
  <c r="BJ19" i="5"/>
  <c r="BJ33" i="5"/>
  <c r="BJ61" i="5"/>
  <c r="BK74" i="5"/>
  <c r="BK73" i="5"/>
  <c r="BK70" i="5"/>
  <c r="BK72" i="5"/>
  <c r="BK68" i="5"/>
  <c r="BK67" i="5"/>
  <c r="BK65" i="5"/>
  <c r="BK69" i="5"/>
  <c r="BK66" i="5"/>
  <c r="BK60" i="5"/>
  <c r="BK56" i="5"/>
  <c r="BK55" i="5"/>
  <c r="BK54" i="5"/>
  <c r="BK53" i="5"/>
  <c r="BK57" i="5"/>
  <c r="BK64" i="5"/>
  <c r="BK58" i="5"/>
  <c r="BK46" i="5"/>
  <c r="BK45" i="5"/>
  <c r="BK59" i="5"/>
  <c r="BK71" i="5"/>
  <c r="BK63" i="5"/>
  <c r="BK50" i="5"/>
  <c r="BK51" i="5"/>
  <c r="BK44" i="5"/>
  <c r="BK40" i="5"/>
  <c r="BK41" i="5"/>
  <c r="BK52" i="5"/>
  <c r="BK42" i="5"/>
  <c r="BK39" i="5"/>
  <c r="BK49" i="5"/>
  <c r="BK35" i="5"/>
  <c r="BK43" i="5"/>
  <c r="BK38" i="5"/>
  <c r="BK36" i="5"/>
  <c r="BK32" i="5"/>
  <c r="BK31" i="5"/>
  <c r="BK23" i="5"/>
  <c r="BK17" i="5"/>
  <c r="BK16" i="5"/>
  <c r="BK15" i="5"/>
  <c r="BK14" i="5"/>
  <c r="BK13" i="5"/>
  <c r="BK12" i="5"/>
  <c r="BK11" i="5"/>
  <c r="BK10" i="5"/>
  <c r="BK9" i="5"/>
  <c r="BK8" i="5"/>
  <c r="BK7" i="5"/>
  <c r="BK28" i="5"/>
  <c r="BK26" i="5"/>
  <c r="BK18" i="5"/>
  <c r="BK21" i="5"/>
  <c r="BL5" i="5"/>
  <c r="BK37" i="5"/>
  <c r="BK30" i="5"/>
  <c r="BK27" i="5"/>
  <c r="BK29" i="5"/>
  <c r="BK25" i="5"/>
  <c r="BK24" i="5"/>
  <c r="BK22" i="5"/>
  <c r="BK75" i="5" l="1"/>
  <c r="BK19" i="5"/>
  <c r="BK61" i="5"/>
  <c r="BK33" i="5"/>
  <c r="BK47" i="5"/>
  <c r="BL74" i="5"/>
  <c r="BL72" i="5"/>
  <c r="BL68" i="5"/>
  <c r="BL67" i="5"/>
  <c r="BL66" i="5"/>
  <c r="BL71" i="5"/>
  <c r="BL69" i="5"/>
  <c r="BL65" i="5"/>
  <c r="BL64" i="5"/>
  <c r="BL60" i="5"/>
  <c r="BL57" i="5"/>
  <c r="BL70" i="5"/>
  <c r="BL73" i="5"/>
  <c r="BL59" i="5"/>
  <c r="BL53" i="5"/>
  <c r="BL52" i="5"/>
  <c r="BL51" i="5"/>
  <c r="BL50" i="5"/>
  <c r="BL58" i="5"/>
  <c r="BL45" i="5"/>
  <c r="BL54" i="5"/>
  <c r="BL63" i="5"/>
  <c r="BL56" i="5"/>
  <c r="BL44" i="5"/>
  <c r="BL41" i="5"/>
  <c r="BL42" i="5"/>
  <c r="BL39" i="5"/>
  <c r="BL55" i="5"/>
  <c r="BL43" i="5"/>
  <c r="BL40" i="5"/>
  <c r="BL49" i="5"/>
  <c r="BL38" i="5"/>
  <c r="BL36" i="5"/>
  <c r="BL32" i="5"/>
  <c r="BL35" i="5"/>
  <c r="BL46" i="5"/>
  <c r="BL31" i="5"/>
  <c r="BL28" i="5"/>
  <c r="BL26" i="5"/>
  <c r="BL18" i="5"/>
  <c r="BL21" i="5"/>
  <c r="BL24" i="5"/>
  <c r="BL23" i="5"/>
  <c r="BL17" i="5"/>
  <c r="BL16" i="5"/>
  <c r="BL15" i="5"/>
  <c r="BL14" i="5"/>
  <c r="BL13" i="5"/>
  <c r="BL12" i="5"/>
  <c r="BL11" i="5"/>
  <c r="BL10" i="5"/>
  <c r="BL9" i="5"/>
  <c r="BL8" i="5"/>
  <c r="BL7" i="5"/>
  <c r="BL27" i="5"/>
  <c r="BL22" i="5"/>
  <c r="BL29" i="5"/>
  <c r="BL37" i="5"/>
  <c r="BL30" i="5"/>
  <c r="BM5" i="5"/>
  <c r="BL25" i="5"/>
  <c r="BL47" i="5" l="1"/>
  <c r="BL33" i="5"/>
  <c r="BL19" i="5"/>
  <c r="BL75" i="5"/>
  <c r="BL61" i="5"/>
  <c r="BM74" i="5"/>
  <c r="BM71" i="5"/>
  <c r="BM73" i="5"/>
  <c r="BM72" i="5"/>
  <c r="BM67" i="5"/>
  <c r="BM65" i="5"/>
  <c r="BM64" i="5"/>
  <c r="BM63" i="5"/>
  <c r="BM68" i="5"/>
  <c r="BM66" i="5"/>
  <c r="BM69" i="5"/>
  <c r="BM60" i="5"/>
  <c r="BM59" i="5"/>
  <c r="BM58" i="5"/>
  <c r="BM57" i="5"/>
  <c r="BM70" i="5"/>
  <c r="BM52" i="5"/>
  <c r="BM51" i="5"/>
  <c r="BM50" i="5"/>
  <c r="BM54" i="5"/>
  <c r="BM53" i="5"/>
  <c r="BM49" i="5"/>
  <c r="BM46" i="5"/>
  <c r="BM45" i="5"/>
  <c r="BM42" i="5"/>
  <c r="BM39" i="5"/>
  <c r="BM55" i="5"/>
  <c r="BM43" i="5"/>
  <c r="BM56" i="5"/>
  <c r="BM44" i="5"/>
  <c r="BM41" i="5"/>
  <c r="BM38" i="5"/>
  <c r="BM36" i="5"/>
  <c r="BM32" i="5"/>
  <c r="BM40" i="5"/>
  <c r="BM30" i="5"/>
  <c r="BM21" i="5"/>
  <c r="BM24" i="5"/>
  <c r="BM35" i="5"/>
  <c r="BM31" i="5"/>
  <c r="BM28" i="5"/>
  <c r="BM26" i="5"/>
  <c r="BM18" i="5"/>
  <c r="BM9" i="5"/>
  <c r="BM22" i="5"/>
  <c r="BM29" i="5"/>
  <c r="BM16" i="5"/>
  <c r="BM14" i="5"/>
  <c r="BM12" i="5"/>
  <c r="BM10" i="5"/>
  <c r="BM8" i="5"/>
  <c r="BM37" i="5"/>
  <c r="BM27" i="5"/>
  <c r="BM7" i="5"/>
  <c r="BM11" i="5"/>
  <c r="BM15" i="5"/>
  <c r="BN5" i="5"/>
  <c r="BM13" i="5"/>
  <c r="BM25" i="5"/>
  <c r="BM23" i="5"/>
  <c r="BM17" i="5"/>
  <c r="BN74" i="5" l="1"/>
  <c r="BN71" i="5"/>
  <c r="BN73" i="5"/>
  <c r="BN69" i="5"/>
  <c r="BN68" i="5"/>
  <c r="BN66" i="5"/>
  <c r="BN67" i="5"/>
  <c r="BN60" i="5"/>
  <c r="BN57" i="5"/>
  <c r="BN58" i="5"/>
  <c r="BN52" i="5"/>
  <c r="BN51" i="5"/>
  <c r="BN50" i="5"/>
  <c r="BN49" i="5"/>
  <c r="BN65" i="5"/>
  <c r="BN54" i="5"/>
  <c r="BN63" i="5"/>
  <c r="BN56" i="5"/>
  <c r="BN72" i="5"/>
  <c r="BN70" i="5"/>
  <c r="BN64" i="5"/>
  <c r="BN59" i="5"/>
  <c r="BN46" i="5"/>
  <c r="BN55" i="5"/>
  <c r="BN43" i="5"/>
  <c r="BN32" i="5"/>
  <c r="BN31" i="5"/>
  <c r="BN30" i="5"/>
  <c r="BN53" i="5"/>
  <c r="BN42" i="5"/>
  <c r="BN39" i="5"/>
  <c r="BN18" i="5"/>
  <c r="BN45" i="5"/>
  <c r="BN40" i="5"/>
  <c r="BN41" i="5"/>
  <c r="BN44" i="5"/>
  <c r="BN38" i="5"/>
  <c r="BN36" i="5"/>
  <c r="BN24" i="5"/>
  <c r="BN29" i="5"/>
  <c r="BN27" i="5"/>
  <c r="BN22" i="5"/>
  <c r="BN21" i="5"/>
  <c r="BN35" i="5"/>
  <c r="BN28" i="5"/>
  <c r="BN16" i="5"/>
  <c r="BN14" i="5"/>
  <c r="BN12" i="5"/>
  <c r="BN10" i="5"/>
  <c r="BN8" i="5"/>
  <c r="BN37" i="5"/>
  <c r="BN9" i="5"/>
  <c r="BN11" i="5"/>
  <c r="BO5" i="5"/>
  <c r="BN26" i="5"/>
  <c r="BN23" i="5"/>
  <c r="BN13" i="5"/>
  <c r="BN25" i="5"/>
  <c r="BN7" i="5"/>
  <c r="BN15" i="5"/>
  <c r="BN17" i="5"/>
  <c r="BM75" i="5"/>
  <c r="BM61" i="5"/>
  <c r="BM33" i="5"/>
  <c r="BM47" i="5"/>
  <c r="BM19" i="5"/>
  <c r="BO72" i="5" l="1"/>
  <c r="BO74" i="5"/>
  <c r="BO73" i="5"/>
  <c r="BO69" i="5"/>
  <c r="BO70" i="5"/>
  <c r="BO68" i="5"/>
  <c r="BO66" i="5"/>
  <c r="BO71" i="5"/>
  <c r="BO58" i="5"/>
  <c r="BO60" i="5"/>
  <c r="BO57" i="5"/>
  <c r="BO65" i="5"/>
  <c r="BO54" i="5"/>
  <c r="BO67" i="5"/>
  <c r="BO63" i="5"/>
  <c r="BO56" i="5"/>
  <c r="BO52" i="5"/>
  <c r="BO51" i="5"/>
  <c r="BO50" i="5"/>
  <c r="BO46" i="5"/>
  <c r="BO49" i="5"/>
  <c r="BO55" i="5"/>
  <c r="BO53" i="5"/>
  <c r="BO59" i="5"/>
  <c r="BO38" i="5"/>
  <c r="BO37" i="5"/>
  <c r="BO36" i="5"/>
  <c r="BO35" i="5"/>
  <c r="BO64" i="5"/>
  <c r="BO43" i="5"/>
  <c r="BO45" i="5"/>
  <c r="BO40" i="5"/>
  <c r="BO41" i="5"/>
  <c r="BO30" i="5"/>
  <c r="BO29" i="5"/>
  <c r="BO28" i="5"/>
  <c r="BO27" i="5"/>
  <c r="BO26" i="5"/>
  <c r="BO32" i="5"/>
  <c r="BO39" i="5"/>
  <c r="BO22" i="5"/>
  <c r="BO25" i="5"/>
  <c r="BO24" i="5"/>
  <c r="BO31" i="5"/>
  <c r="BO21" i="5"/>
  <c r="BO16" i="5"/>
  <c r="BO14" i="5"/>
  <c r="BO12" i="5"/>
  <c r="BO10" i="5"/>
  <c r="BO8" i="5"/>
  <c r="BO44" i="5"/>
  <c r="BO42" i="5"/>
  <c r="BO23" i="5"/>
  <c r="BO7" i="5"/>
  <c r="BO17" i="5"/>
  <c r="BO13" i="5"/>
  <c r="BO15" i="5"/>
  <c r="BP5" i="5"/>
  <c r="BO18" i="5"/>
  <c r="BO11" i="5"/>
  <c r="BO9" i="5"/>
  <c r="BN33" i="5"/>
  <c r="BN47" i="5"/>
  <c r="BN19" i="5"/>
  <c r="BN61" i="5"/>
  <c r="BN75" i="5"/>
  <c r="BO75" i="5" l="1"/>
  <c r="BO61" i="5"/>
  <c r="BO47" i="5"/>
  <c r="BO19" i="5"/>
  <c r="BO33" i="5"/>
  <c r="BP72" i="5"/>
  <c r="BP69" i="5"/>
  <c r="BP74" i="5"/>
  <c r="BP70" i="5"/>
  <c r="BP68" i="5"/>
  <c r="BP66" i="5"/>
  <c r="BP71" i="5"/>
  <c r="BP63" i="5"/>
  <c r="BP73" i="5"/>
  <c r="BP58" i="5"/>
  <c r="BP60" i="5"/>
  <c r="BP59" i="5"/>
  <c r="BP67" i="5"/>
  <c r="BP56" i="5"/>
  <c r="BP55" i="5"/>
  <c r="BP65" i="5"/>
  <c r="BP57" i="5"/>
  <c r="BP54" i="5"/>
  <c r="BP49" i="5"/>
  <c r="BP61" i="5" s="1"/>
  <c r="BP53" i="5"/>
  <c r="BP51" i="5"/>
  <c r="BP44" i="5"/>
  <c r="BP43" i="5"/>
  <c r="BP42" i="5"/>
  <c r="BP41" i="5"/>
  <c r="BP50" i="5"/>
  <c r="BP46" i="5"/>
  <c r="BP52" i="5"/>
  <c r="BP38" i="5"/>
  <c r="BP37" i="5"/>
  <c r="BP36" i="5"/>
  <c r="BP35" i="5"/>
  <c r="BP45" i="5"/>
  <c r="BP64" i="5"/>
  <c r="BP30" i="5"/>
  <c r="BP29" i="5"/>
  <c r="BP28" i="5"/>
  <c r="BP27" i="5"/>
  <c r="BP26" i="5"/>
  <c r="BP40" i="5"/>
  <c r="BP39" i="5"/>
  <c r="BP22" i="5"/>
  <c r="BP25" i="5"/>
  <c r="BP32" i="5"/>
  <c r="BP23" i="5"/>
  <c r="BP7" i="5"/>
  <c r="BQ5" i="5"/>
  <c r="BP31" i="5"/>
  <c r="BP21" i="5"/>
  <c r="BP16" i="5"/>
  <c r="BP14" i="5"/>
  <c r="BP12" i="5"/>
  <c r="BP10" i="5"/>
  <c r="BP8" i="5"/>
  <c r="BP13" i="5"/>
  <c r="BP17" i="5"/>
  <c r="BP15" i="5"/>
  <c r="BP11" i="5"/>
  <c r="BP24" i="5"/>
  <c r="BP18" i="5"/>
  <c r="BP9" i="5"/>
  <c r="BP33" i="5" l="1"/>
  <c r="BQ72" i="5"/>
  <c r="BQ71" i="5"/>
  <c r="BQ70" i="5"/>
  <c r="BQ69" i="5"/>
  <c r="BQ73" i="5"/>
  <c r="BQ74" i="5"/>
  <c r="BQ66" i="5"/>
  <c r="BQ63" i="5"/>
  <c r="BQ68" i="5"/>
  <c r="BQ67" i="5"/>
  <c r="BQ64" i="5"/>
  <c r="BQ60" i="5"/>
  <c r="BQ59" i="5"/>
  <c r="BQ65" i="5"/>
  <c r="BQ56" i="5"/>
  <c r="BQ58" i="5"/>
  <c r="BQ55" i="5"/>
  <c r="BQ57" i="5"/>
  <c r="BQ53" i="5"/>
  <c r="BQ51" i="5"/>
  <c r="BQ54" i="5"/>
  <c r="BQ44" i="5"/>
  <c r="BQ43" i="5"/>
  <c r="BQ42" i="5"/>
  <c r="BQ41" i="5"/>
  <c r="BQ40" i="5"/>
  <c r="BQ49" i="5"/>
  <c r="BQ52" i="5"/>
  <c r="BQ38" i="5"/>
  <c r="BQ37" i="5"/>
  <c r="BQ36" i="5"/>
  <c r="BQ35" i="5"/>
  <c r="BQ45" i="5"/>
  <c r="BQ46" i="5"/>
  <c r="BQ50" i="5"/>
  <c r="BQ29" i="5"/>
  <c r="BQ28" i="5"/>
  <c r="BQ27" i="5"/>
  <c r="BQ26" i="5"/>
  <c r="BQ25" i="5"/>
  <c r="BQ24" i="5"/>
  <c r="BQ23" i="5"/>
  <c r="BQ22" i="5"/>
  <c r="BQ21" i="5"/>
  <c r="BQ31" i="5"/>
  <c r="BQ30" i="5"/>
  <c r="BQ17" i="5"/>
  <c r="BQ16" i="5"/>
  <c r="BQ15" i="5"/>
  <c r="BQ14" i="5"/>
  <c r="BQ13" i="5"/>
  <c r="BQ12" i="5"/>
  <c r="BQ11" i="5"/>
  <c r="BQ10" i="5"/>
  <c r="BQ9" i="5"/>
  <c r="BQ39" i="5"/>
  <c r="BQ32" i="5"/>
  <c r="BQ7" i="5"/>
  <c r="BR5" i="5"/>
  <c r="BQ8" i="5"/>
  <c r="BQ18" i="5"/>
  <c r="BP47" i="5"/>
  <c r="BP75" i="5"/>
  <c r="BP19" i="5"/>
  <c r="BR73" i="5" l="1"/>
  <c r="BR70" i="5"/>
  <c r="BR68" i="5"/>
  <c r="BR67" i="5"/>
  <c r="BR71" i="5"/>
  <c r="BR74" i="5"/>
  <c r="BR72" i="5"/>
  <c r="BR69" i="5"/>
  <c r="BR66" i="5"/>
  <c r="BR63" i="5"/>
  <c r="BR64" i="5"/>
  <c r="BR65" i="5"/>
  <c r="BR59" i="5"/>
  <c r="BR56" i="5"/>
  <c r="BR60" i="5"/>
  <c r="BR55" i="5"/>
  <c r="BR53" i="5"/>
  <c r="BR58" i="5"/>
  <c r="BR54" i="5"/>
  <c r="BR44" i="5"/>
  <c r="BR43" i="5"/>
  <c r="BR42" i="5"/>
  <c r="BR41" i="5"/>
  <c r="BR40" i="5"/>
  <c r="BR39" i="5"/>
  <c r="BR52" i="5"/>
  <c r="BR45" i="5"/>
  <c r="BR57" i="5"/>
  <c r="BR51" i="5"/>
  <c r="BR46" i="5"/>
  <c r="BR50" i="5"/>
  <c r="BR38" i="5"/>
  <c r="BR37" i="5"/>
  <c r="BR36" i="5"/>
  <c r="BR31" i="5"/>
  <c r="BR49" i="5"/>
  <c r="BR29" i="5"/>
  <c r="BR28" i="5"/>
  <c r="BR27" i="5"/>
  <c r="BR26" i="5"/>
  <c r="BR25" i="5"/>
  <c r="BS5" i="5"/>
  <c r="BR17" i="5"/>
  <c r="BR16" i="5"/>
  <c r="BR15" i="5"/>
  <c r="BR14" i="5"/>
  <c r="BR13" i="5"/>
  <c r="BR12" i="5"/>
  <c r="BR11" i="5"/>
  <c r="BR10" i="5"/>
  <c r="BR23" i="5"/>
  <c r="BR22" i="5"/>
  <c r="BR24" i="5"/>
  <c r="BR18" i="5"/>
  <c r="BR35" i="5"/>
  <c r="BR32" i="5"/>
  <c r="BR7" i="5"/>
  <c r="BR30" i="5"/>
  <c r="BR21" i="5"/>
  <c r="BR9" i="5"/>
  <c r="BR8" i="5"/>
  <c r="BQ19" i="5"/>
  <c r="BQ33" i="5"/>
  <c r="BQ61" i="5"/>
  <c r="BQ47" i="5"/>
  <c r="BQ75" i="5"/>
  <c r="BR61" i="5" l="1"/>
  <c r="BS74" i="5"/>
  <c r="BS73" i="5"/>
  <c r="BS70" i="5"/>
  <c r="BS68" i="5"/>
  <c r="BS72" i="5"/>
  <c r="BS69" i="5"/>
  <c r="BS71" i="5"/>
  <c r="BS65" i="5"/>
  <c r="BS63" i="5"/>
  <c r="BS64" i="5"/>
  <c r="BS67" i="5"/>
  <c r="BS60" i="5"/>
  <c r="BS56" i="5"/>
  <c r="BS55" i="5"/>
  <c r="BS54" i="5"/>
  <c r="BS53" i="5"/>
  <c r="BS59" i="5"/>
  <c r="BS66" i="5"/>
  <c r="BS46" i="5"/>
  <c r="BS45" i="5"/>
  <c r="BS52" i="5"/>
  <c r="BS58" i="5"/>
  <c r="BS44" i="5"/>
  <c r="BS40" i="5"/>
  <c r="BS50" i="5"/>
  <c r="BS57" i="5"/>
  <c r="BS51" i="5"/>
  <c r="BS43" i="5"/>
  <c r="BS41" i="5"/>
  <c r="BS31" i="5"/>
  <c r="BS37" i="5"/>
  <c r="BS49" i="5"/>
  <c r="BS17" i="5"/>
  <c r="BS16" i="5"/>
  <c r="BS15" i="5"/>
  <c r="BS14" i="5"/>
  <c r="BS13" i="5"/>
  <c r="BS12" i="5"/>
  <c r="BS11" i="5"/>
  <c r="BS10" i="5"/>
  <c r="BS9" i="5"/>
  <c r="BS8" i="5"/>
  <c r="BS7" i="5"/>
  <c r="BS29" i="5"/>
  <c r="BS27" i="5"/>
  <c r="BS23" i="5"/>
  <c r="BS36" i="5"/>
  <c r="BS18" i="5"/>
  <c r="BS25" i="5"/>
  <c r="BT5" i="5"/>
  <c r="BS28" i="5"/>
  <c r="BS22" i="5"/>
  <c r="BS42" i="5"/>
  <c r="BS24" i="5"/>
  <c r="BS38" i="5"/>
  <c r="BS35" i="5"/>
  <c r="BS32" i="5"/>
  <c r="BS39" i="5"/>
  <c r="BS26" i="5"/>
  <c r="BS21" i="5"/>
  <c r="BS30" i="5"/>
  <c r="BR75" i="5"/>
  <c r="BR47" i="5"/>
  <c r="BR33" i="5"/>
  <c r="BR19" i="5"/>
  <c r="BS33" i="5" l="1"/>
  <c r="BT73" i="5"/>
  <c r="BT74" i="5"/>
  <c r="BT70" i="5"/>
  <c r="BT68" i="5"/>
  <c r="BT67" i="5"/>
  <c r="BT66" i="5"/>
  <c r="BT72" i="5"/>
  <c r="BT69" i="5"/>
  <c r="BT71" i="5"/>
  <c r="BT65" i="5"/>
  <c r="BT64" i="5"/>
  <c r="BT60" i="5"/>
  <c r="BT63" i="5"/>
  <c r="BT57" i="5"/>
  <c r="BT56" i="5"/>
  <c r="BT53" i="5"/>
  <c r="BT52" i="5"/>
  <c r="BT51" i="5"/>
  <c r="BT50" i="5"/>
  <c r="BT55" i="5"/>
  <c r="BT45" i="5"/>
  <c r="BT54" i="5"/>
  <c r="BT46" i="5"/>
  <c r="BT40" i="5"/>
  <c r="BT39" i="5"/>
  <c r="BT59" i="5"/>
  <c r="BT58" i="5"/>
  <c r="BT37" i="5"/>
  <c r="BT35" i="5"/>
  <c r="BT32" i="5"/>
  <c r="BT43" i="5"/>
  <c r="BT41" i="5"/>
  <c r="BT31" i="5"/>
  <c r="BT29" i="5"/>
  <c r="BT27" i="5"/>
  <c r="BT23" i="5"/>
  <c r="BT36" i="5"/>
  <c r="BT18" i="5"/>
  <c r="BT30" i="5"/>
  <c r="BT21" i="5"/>
  <c r="BT49" i="5"/>
  <c r="BT17" i="5"/>
  <c r="BT16" i="5"/>
  <c r="BT15" i="5"/>
  <c r="BT14" i="5"/>
  <c r="BT13" i="5"/>
  <c r="BT12" i="5"/>
  <c r="BT11" i="5"/>
  <c r="BT10" i="5"/>
  <c r="BT9" i="5"/>
  <c r="BT8" i="5"/>
  <c r="BT7" i="5"/>
  <c r="BT44" i="5"/>
  <c r="BT42" i="5"/>
  <c r="BT24" i="5"/>
  <c r="BU5" i="5"/>
  <c r="BT38" i="5"/>
  <c r="BT26" i="5"/>
  <c r="BT28" i="5"/>
  <c r="BT22" i="5"/>
  <c r="BT25" i="5"/>
  <c r="BS19" i="5"/>
  <c r="BS75" i="5"/>
  <c r="BS47" i="5"/>
  <c r="BS61" i="5"/>
  <c r="BT19" i="5" l="1"/>
  <c r="BT47" i="5"/>
  <c r="BT61" i="5"/>
  <c r="BT75" i="5"/>
  <c r="BU74" i="5"/>
  <c r="BU72" i="5"/>
  <c r="BU71" i="5"/>
  <c r="BU65" i="5"/>
  <c r="BU64" i="5"/>
  <c r="BU63" i="5"/>
  <c r="BU70" i="5"/>
  <c r="BU67" i="5"/>
  <c r="BU69" i="5"/>
  <c r="BU60" i="5"/>
  <c r="BU59" i="5"/>
  <c r="BU58" i="5"/>
  <c r="BU57" i="5"/>
  <c r="BU68" i="5"/>
  <c r="BU73" i="5"/>
  <c r="BU53" i="5"/>
  <c r="BU52" i="5"/>
  <c r="BU51" i="5"/>
  <c r="BU50" i="5"/>
  <c r="BU66" i="5"/>
  <c r="BU56" i="5"/>
  <c r="BU45" i="5"/>
  <c r="BU55" i="5"/>
  <c r="BU54" i="5"/>
  <c r="BU40" i="5"/>
  <c r="BU39" i="5"/>
  <c r="BU49" i="5"/>
  <c r="BU41" i="5"/>
  <c r="BU46" i="5"/>
  <c r="BU37" i="5"/>
  <c r="BU35" i="5"/>
  <c r="BU32" i="5"/>
  <c r="BU42" i="5"/>
  <c r="BU36" i="5"/>
  <c r="BU18" i="5"/>
  <c r="BU30" i="5"/>
  <c r="BU21" i="5"/>
  <c r="BU24" i="5"/>
  <c r="BU29" i="5"/>
  <c r="BU27" i="5"/>
  <c r="BU23" i="5"/>
  <c r="BU38" i="5"/>
  <c r="BU25" i="5"/>
  <c r="BU17" i="5"/>
  <c r="BU15" i="5"/>
  <c r="BU13" i="5"/>
  <c r="BU11" i="5"/>
  <c r="BU26" i="5"/>
  <c r="BU31" i="5"/>
  <c r="BU44" i="5"/>
  <c r="BU43" i="5"/>
  <c r="BV5" i="5"/>
  <c r="BU10" i="5"/>
  <c r="BU14" i="5"/>
  <c r="BU22" i="5"/>
  <c r="BU7" i="5"/>
  <c r="BU8" i="5"/>
  <c r="BU28" i="5"/>
  <c r="BU16" i="5"/>
  <c r="BU9" i="5"/>
  <c r="BU12" i="5"/>
  <c r="BT33" i="5"/>
  <c r="BV74" i="5" l="1"/>
  <c r="BV72" i="5"/>
  <c r="BV71" i="5"/>
  <c r="BV73" i="5"/>
  <c r="BV70" i="5"/>
  <c r="BV67" i="5"/>
  <c r="BV66" i="5"/>
  <c r="BV64" i="5"/>
  <c r="BV60" i="5"/>
  <c r="BV68" i="5"/>
  <c r="BV65" i="5"/>
  <c r="BV69" i="5"/>
  <c r="BV63" i="5"/>
  <c r="BV57" i="5"/>
  <c r="BV52" i="5"/>
  <c r="BV51" i="5"/>
  <c r="BV50" i="5"/>
  <c r="BV49" i="5"/>
  <c r="BV54" i="5"/>
  <c r="BV53" i="5"/>
  <c r="BV55" i="5"/>
  <c r="BV46" i="5"/>
  <c r="BV45" i="5"/>
  <c r="BV39" i="5"/>
  <c r="BV32" i="5"/>
  <c r="BV31" i="5"/>
  <c r="BV30" i="5"/>
  <c r="BV56" i="5"/>
  <c r="BV41" i="5"/>
  <c r="BV44" i="5"/>
  <c r="BV42" i="5"/>
  <c r="BV59" i="5"/>
  <c r="BV58" i="5"/>
  <c r="BV40" i="5"/>
  <c r="BV35" i="5"/>
  <c r="BV18" i="5"/>
  <c r="BV37" i="5"/>
  <c r="BV21" i="5"/>
  <c r="BV24" i="5"/>
  <c r="BV43" i="5"/>
  <c r="BV38" i="5"/>
  <c r="BV28" i="5"/>
  <c r="BV26" i="5"/>
  <c r="BV36" i="5"/>
  <c r="BV23" i="5"/>
  <c r="BV29" i="5"/>
  <c r="BV25" i="5"/>
  <c r="BV17" i="5"/>
  <c r="BV15" i="5"/>
  <c r="BV13" i="5"/>
  <c r="BV11" i="5"/>
  <c r="BV9" i="5"/>
  <c r="BV14" i="5"/>
  <c r="BV10" i="5"/>
  <c r="BV7" i="5"/>
  <c r="BV27" i="5"/>
  <c r="BV16" i="5"/>
  <c r="BW5" i="5"/>
  <c r="BV8" i="5"/>
  <c r="BV22" i="5"/>
  <c r="BV12" i="5"/>
  <c r="BU47" i="5"/>
  <c r="BU61" i="5"/>
  <c r="BU75" i="5"/>
  <c r="BU19" i="5"/>
  <c r="BU33" i="5"/>
  <c r="BV19" i="5" l="1"/>
  <c r="BV47" i="5"/>
  <c r="BV75" i="5"/>
  <c r="BV61" i="5"/>
  <c r="BV33" i="5"/>
  <c r="BW74" i="5"/>
  <c r="BW72" i="5"/>
  <c r="BW71" i="5"/>
  <c r="BW69" i="5"/>
  <c r="BW67" i="5"/>
  <c r="BW66" i="5"/>
  <c r="BW70" i="5"/>
  <c r="BW68" i="5"/>
  <c r="BW65" i="5"/>
  <c r="BW73" i="5"/>
  <c r="BW63" i="5"/>
  <c r="BW57" i="5"/>
  <c r="BW64" i="5"/>
  <c r="BW58" i="5"/>
  <c r="BW54" i="5"/>
  <c r="BW52" i="5"/>
  <c r="BW51" i="5"/>
  <c r="BW46" i="5"/>
  <c r="BW49" i="5"/>
  <c r="BW55" i="5"/>
  <c r="BW53" i="5"/>
  <c r="BW56" i="5"/>
  <c r="BW45" i="5"/>
  <c r="BW41" i="5"/>
  <c r="BW44" i="5"/>
  <c r="BW42" i="5"/>
  <c r="BW59" i="5"/>
  <c r="BW50" i="5"/>
  <c r="BW43" i="5"/>
  <c r="BW38" i="5"/>
  <c r="BW37" i="5"/>
  <c r="BW36" i="5"/>
  <c r="BW35" i="5"/>
  <c r="BW60" i="5"/>
  <c r="BW39" i="5"/>
  <c r="BW32" i="5"/>
  <c r="BW30" i="5"/>
  <c r="BW29" i="5"/>
  <c r="BW28" i="5"/>
  <c r="BW27" i="5"/>
  <c r="BW26" i="5"/>
  <c r="BW24" i="5"/>
  <c r="BW40" i="5"/>
  <c r="BW22" i="5"/>
  <c r="BW21" i="5"/>
  <c r="BW18" i="5"/>
  <c r="BW25" i="5"/>
  <c r="BW17" i="5"/>
  <c r="BW15" i="5"/>
  <c r="BW13" i="5"/>
  <c r="BW11" i="5"/>
  <c r="BW9" i="5"/>
  <c r="BW8" i="5"/>
  <c r="BW31" i="5"/>
  <c r="BW23" i="5"/>
  <c r="BW7" i="5"/>
  <c r="BW16" i="5"/>
  <c r="BX5" i="5"/>
  <c r="BW10" i="5"/>
  <c r="BW12" i="5"/>
  <c r="BW14" i="5"/>
  <c r="BW61" i="5" l="1"/>
  <c r="BW75" i="5"/>
  <c r="BX72" i="5"/>
  <c r="BX69" i="5"/>
  <c r="BX71" i="5"/>
  <c r="BX66" i="5"/>
  <c r="BX74" i="5"/>
  <c r="BX73" i="5"/>
  <c r="BX68" i="5"/>
  <c r="BX67" i="5"/>
  <c r="BX65" i="5"/>
  <c r="BX70" i="5"/>
  <c r="BX64" i="5"/>
  <c r="BX58" i="5"/>
  <c r="BX63" i="5"/>
  <c r="BX57" i="5"/>
  <c r="BX54" i="5"/>
  <c r="BX59" i="5"/>
  <c r="BX52" i="5"/>
  <c r="BX46" i="5"/>
  <c r="BX49" i="5"/>
  <c r="BX50" i="5"/>
  <c r="BX44" i="5"/>
  <c r="BX43" i="5"/>
  <c r="BX42" i="5"/>
  <c r="BX41" i="5"/>
  <c r="BX53" i="5"/>
  <c r="BX38" i="5"/>
  <c r="BX37" i="5"/>
  <c r="BX36" i="5"/>
  <c r="BX35" i="5"/>
  <c r="BX60" i="5"/>
  <c r="BX51" i="5"/>
  <c r="BX56" i="5"/>
  <c r="BX55" i="5"/>
  <c r="BX45" i="5"/>
  <c r="BX30" i="5"/>
  <c r="BX29" i="5"/>
  <c r="BX28" i="5"/>
  <c r="BX27" i="5"/>
  <c r="BX26" i="5"/>
  <c r="BX39" i="5"/>
  <c r="BX32" i="5"/>
  <c r="BX40" i="5"/>
  <c r="BX22" i="5"/>
  <c r="BX31" i="5"/>
  <c r="BX25" i="5"/>
  <c r="BX24" i="5"/>
  <c r="BX9" i="5"/>
  <c r="BX18" i="5"/>
  <c r="BX8" i="5"/>
  <c r="BX17" i="5"/>
  <c r="BX15" i="5"/>
  <c r="BX13" i="5"/>
  <c r="BX11" i="5"/>
  <c r="BX16" i="5"/>
  <c r="BY5" i="5"/>
  <c r="BX14" i="5"/>
  <c r="BX10" i="5"/>
  <c r="BX21" i="5"/>
  <c r="BX23" i="5"/>
  <c r="BX12" i="5"/>
  <c r="BX7" i="5"/>
  <c r="BW47" i="5"/>
  <c r="BW19" i="5"/>
  <c r="BW33" i="5"/>
  <c r="BX19" i="5" l="1"/>
  <c r="BX75" i="5"/>
  <c r="BX33" i="5"/>
  <c r="BX47" i="5"/>
  <c r="BX61" i="5"/>
  <c r="BY72" i="5"/>
  <c r="BY71" i="5"/>
  <c r="BY70" i="5"/>
  <c r="BY69" i="5"/>
  <c r="BY73" i="5"/>
  <c r="BY74" i="5"/>
  <c r="BY68" i="5"/>
  <c r="BY66" i="5"/>
  <c r="BY67" i="5"/>
  <c r="BY63" i="5"/>
  <c r="BY64" i="5"/>
  <c r="BY58" i="5"/>
  <c r="BY65" i="5"/>
  <c r="BY59" i="5"/>
  <c r="BY56" i="5"/>
  <c r="BY60" i="5"/>
  <c r="BY55" i="5"/>
  <c r="BY54" i="5"/>
  <c r="BY49" i="5"/>
  <c r="BY61" i="5" s="1"/>
  <c r="BY50" i="5"/>
  <c r="BY44" i="5"/>
  <c r="BY43" i="5"/>
  <c r="BY42" i="5"/>
  <c r="BY41" i="5"/>
  <c r="BY40" i="5"/>
  <c r="BY52" i="5"/>
  <c r="BY46" i="5"/>
  <c r="BY53" i="5"/>
  <c r="BY38" i="5"/>
  <c r="BY37" i="5"/>
  <c r="BY36" i="5"/>
  <c r="BY35" i="5"/>
  <c r="BY57" i="5"/>
  <c r="BY51" i="5"/>
  <c r="BY30" i="5"/>
  <c r="BY29" i="5"/>
  <c r="BY28" i="5"/>
  <c r="BY27" i="5"/>
  <c r="BY26" i="5"/>
  <c r="BY25" i="5"/>
  <c r="BY24" i="5"/>
  <c r="BY23" i="5"/>
  <c r="BY22" i="5"/>
  <c r="BY21" i="5"/>
  <c r="BY39" i="5"/>
  <c r="BY45" i="5"/>
  <c r="BY31" i="5"/>
  <c r="BY17" i="5"/>
  <c r="BY16" i="5"/>
  <c r="BY15" i="5"/>
  <c r="BY14" i="5"/>
  <c r="BY13" i="5"/>
  <c r="BY12" i="5"/>
  <c r="BY11" i="5"/>
  <c r="BY10" i="5"/>
  <c r="BY9" i="5"/>
  <c r="BY18" i="5"/>
  <c r="BY8" i="5"/>
  <c r="BY7" i="5"/>
  <c r="BY19" i="5" s="1"/>
  <c r="BY32" i="5"/>
  <c r="BZ5" i="5"/>
  <c r="BY75" i="5" l="1"/>
  <c r="BY47" i="5"/>
  <c r="BZ74" i="5"/>
  <c r="BZ73" i="5"/>
  <c r="BZ72" i="5"/>
  <c r="BZ69" i="5"/>
  <c r="BZ68" i="5"/>
  <c r="BZ67" i="5"/>
  <c r="BZ71" i="5"/>
  <c r="BZ70" i="5"/>
  <c r="BZ63" i="5"/>
  <c r="BZ65" i="5"/>
  <c r="BZ59" i="5"/>
  <c r="BZ56" i="5"/>
  <c r="BZ66" i="5"/>
  <c r="BZ64" i="5"/>
  <c r="BZ58" i="5"/>
  <c r="BZ60" i="5"/>
  <c r="BZ55" i="5"/>
  <c r="BZ57" i="5"/>
  <c r="BZ50" i="5"/>
  <c r="BZ44" i="5"/>
  <c r="BZ43" i="5"/>
  <c r="BZ42" i="5"/>
  <c r="BZ41" i="5"/>
  <c r="BZ40" i="5"/>
  <c r="BZ39" i="5"/>
  <c r="BZ49" i="5"/>
  <c r="BZ51" i="5"/>
  <c r="BZ54" i="5"/>
  <c r="BZ53" i="5"/>
  <c r="BZ52" i="5"/>
  <c r="BZ38" i="5"/>
  <c r="BZ37" i="5"/>
  <c r="BZ36" i="5"/>
  <c r="BZ31" i="5"/>
  <c r="BZ35" i="5"/>
  <c r="BZ30" i="5"/>
  <c r="BZ29" i="5"/>
  <c r="BZ28" i="5"/>
  <c r="BZ27" i="5"/>
  <c r="BZ26" i="5"/>
  <c r="BZ22" i="5"/>
  <c r="CA5" i="5"/>
  <c r="BZ45" i="5"/>
  <c r="BZ25" i="5"/>
  <c r="BZ17" i="5"/>
  <c r="BZ16" i="5"/>
  <c r="BZ15" i="5"/>
  <c r="BZ14" i="5"/>
  <c r="BZ13" i="5"/>
  <c r="BZ12" i="5"/>
  <c r="BZ11" i="5"/>
  <c r="BZ10" i="5"/>
  <c r="BZ32" i="5"/>
  <c r="BZ46" i="5"/>
  <c r="BZ7" i="5"/>
  <c r="BZ24" i="5"/>
  <c r="BZ18" i="5"/>
  <c r="BZ9" i="5"/>
  <c r="BZ8" i="5"/>
  <c r="BZ21" i="5"/>
  <c r="BZ23" i="5"/>
  <c r="BY33" i="5"/>
  <c r="BZ75" i="5" l="1"/>
  <c r="BZ33" i="5"/>
  <c r="BZ47" i="5"/>
  <c r="BZ61" i="5"/>
  <c r="CA74" i="5"/>
  <c r="CA73" i="5"/>
  <c r="CA68" i="5"/>
  <c r="CA70" i="5"/>
  <c r="CA71" i="5"/>
  <c r="CA72" i="5"/>
  <c r="CA65" i="5"/>
  <c r="CA67" i="5"/>
  <c r="CA63" i="5"/>
  <c r="CA64" i="5"/>
  <c r="CA60" i="5"/>
  <c r="CA59" i="5"/>
  <c r="CA56" i="5"/>
  <c r="CA55" i="5"/>
  <c r="CA54" i="5"/>
  <c r="CA53" i="5"/>
  <c r="CA66" i="5"/>
  <c r="CA69" i="5"/>
  <c r="CA46" i="5"/>
  <c r="CA45" i="5"/>
  <c r="CA57" i="5"/>
  <c r="CA58" i="5"/>
  <c r="CA51" i="5"/>
  <c r="CA50" i="5"/>
  <c r="CA44" i="5"/>
  <c r="CA42" i="5"/>
  <c r="CA49" i="5"/>
  <c r="CA43" i="5"/>
  <c r="CA52" i="5"/>
  <c r="CA41" i="5"/>
  <c r="CA39" i="5"/>
  <c r="CA31" i="5"/>
  <c r="CA38" i="5"/>
  <c r="CA36" i="5"/>
  <c r="CA30" i="5"/>
  <c r="CA25" i="5"/>
  <c r="CA17" i="5"/>
  <c r="CA16" i="5"/>
  <c r="CA15" i="5"/>
  <c r="CA14" i="5"/>
  <c r="CA13" i="5"/>
  <c r="CA12" i="5"/>
  <c r="CA11" i="5"/>
  <c r="CA10" i="5"/>
  <c r="CA9" i="5"/>
  <c r="CA8" i="5"/>
  <c r="CA7" i="5"/>
  <c r="CA32" i="5"/>
  <c r="CA28" i="5"/>
  <c r="CA26" i="5"/>
  <c r="CA37" i="5"/>
  <c r="CA23" i="5"/>
  <c r="CA40" i="5"/>
  <c r="CA22" i="5"/>
  <c r="CB5" i="5"/>
  <c r="CA29" i="5"/>
  <c r="CA21" i="5"/>
  <c r="CA35" i="5"/>
  <c r="CA27" i="5"/>
  <c r="CA18" i="5"/>
  <c r="CA24" i="5"/>
  <c r="BZ19" i="5"/>
  <c r="CA75" i="5" l="1"/>
  <c r="CA19" i="5"/>
  <c r="CA61" i="5"/>
  <c r="CA33" i="5"/>
  <c r="CB73" i="5"/>
  <c r="CB68" i="5"/>
  <c r="CB67" i="5"/>
  <c r="CB66" i="5"/>
  <c r="CB70" i="5"/>
  <c r="CB74" i="5"/>
  <c r="CB69" i="5"/>
  <c r="CB72" i="5"/>
  <c r="CB65" i="5"/>
  <c r="CB64" i="5"/>
  <c r="CB71" i="5"/>
  <c r="CB63" i="5"/>
  <c r="CB75" i="5" s="1"/>
  <c r="CB60" i="5"/>
  <c r="CB59" i="5"/>
  <c r="CB56" i="5"/>
  <c r="CB57" i="5"/>
  <c r="CB55" i="5"/>
  <c r="CB58" i="5"/>
  <c r="CB53" i="5"/>
  <c r="CB52" i="5"/>
  <c r="CB51" i="5"/>
  <c r="CB50" i="5"/>
  <c r="CB45" i="5"/>
  <c r="CB49" i="5"/>
  <c r="CB44" i="5"/>
  <c r="CB43" i="5"/>
  <c r="CB54" i="5"/>
  <c r="CB42" i="5"/>
  <c r="CB31" i="5"/>
  <c r="CB38" i="5"/>
  <c r="CB36" i="5"/>
  <c r="CB39" i="5"/>
  <c r="CB41" i="5"/>
  <c r="CB32" i="5"/>
  <c r="CB28" i="5"/>
  <c r="CB26" i="5"/>
  <c r="CB37" i="5"/>
  <c r="CB23" i="5"/>
  <c r="CB35" i="5"/>
  <c r="CB18" i="5"/>
  <c r="CB30" i="5"/>
  <c r="CB25" i="5"/>
  <c r="CB17" i="5"/>
  <c r="CB16" i="5"/>
  <c r="CB15" i="5"/>
  <c r="CB14" i="5"/>
  <c r="CB13" i="5"/>
  <c r="CB12" i="5"/>
  <c r="CB11" i="5"/>
  <c r="CB10" i="5"/>
  <c r="CB9" i="5"/>
  <c r="CB8" i="5"/>
  <c r="CB7" i="5"/>
  <c r="CB21" i="5"/>
  <c r="CB46" i="5"/>
  <c r="CC5" i="5"/>
  <c r="CB27" i="5"/>
  <c r="CB40" i="5"/>
  <c r="CB29" i="5"/>
  <c r="CB24" i="5"/>
  <c r="CB22" i="5"/>
  <c r="CA47" i="5"/>
  <c r="CC73" i="5" l="1"/>
  <c r="CC70" i="5"/>
  <c r="CC74" i="5"/>
  <c r="CC68" i="5"/>
  <c r="CC65" i="5"/>
  <c r="CC64" i="5"/>
  <c r="CC63" i="5"/>
  <c r="CC72" i="5"/>
  <c r="CC60" i="5"/>
  <c r="CC59" i="5"/>
  <c r="CC58" i="5"/>
  <c r="CC57" i="5"/>
  <c r="CC71" i="5"/>
  <c r="CC66" i="5"/>
  <c r="CC53" i="5"/>
  <c r="CC52" i="5"/>
  <c r="CC51" i="5"/>
  <c r="CC50" i="5"/>
  <c r="CC69" i="5"/>
  <c r="CC67" i="5"/>
  <c r="CC55" i="5"/>
  <c r="CC45" i="5"/>
  <c r="CC56" i="5"/>
  <c r="CC40" i="5"/>
  <c r="CC39" i="5"/>
  <c r="CC54" i="5"/>
  <c r="CC49" i="5"/>
  <c r="CC44" i="5"/>
  <c r="CC43" i="5"/>
  <c r="CC38" i="5"/>
  <c r="CC36" i="5"/>
  <c r="CC42" i="5"/>
  <c r="CC32" i="5"/>
  <c r="CC31" i="5"/>
  <c r="CC37" i="5"/>
  <c r="CC23" i="5"/>
  <c r="CC35" i="5"/>
  <c r="CC18" i="5"/>
  <c r="CC21" i="5"/>
  <c r="CC41" i="5"/>
  <c r="CC28" i="5"/>
  <c r="CC26" i="5"/>
  <c r="CC7" i="5"/>
  <c r="CC46" i="5"/>
  <c r="CD5" i="5"/>
  <c r="CC16" i="5"/>
  <c r="CC14" i="5"/>
  <c r="CC12" i="5"/>
  <c r="CC10" i="5"/>
  <c r="CC27" i="5"/>
  <c r="CC30" i="5"/>
  <c r="CC25" i="5"/>
  <c r="CC24" i="5"/>
  <c r="CC15" i="5"/>
  <c r="CC8" i="5"/>
  <c r="CC22" i="5"/>
  <c r="CC17" i="5"/>
  <c r="CC9" i="5"/>
  <c r="CC29" i="5"/>
  <c r="CC11" i="5"/>
  <c r="CC13" i="5"/>
  <c r="CB47" i="5"/>
  <c r="CB61" i="5"/>
  <c r="CB33" i="5"/>
  <c r="CB19" i="5"/>
  <c r="CC75" i="5" l="1"/>
  <c r="CD74" i="5"/>
  <c r="CD73" i="5"/>
  <c r="CD71" i="5"/>
  <c r="CD72" i="5"/>
  <c r="CD68" i="5"/>
  <c r="CD60" i="5"/>
  <c r="CD70" i="5"/>
  <c r="CD66" i="5"/>
  <c r="CD64" i="5"/>
  <c r="CD67" i="5"/>
  <c r="CD57" i="5"/>
  <c r="CD65" i="5"/>
  <c r="CD63" i="5"/>
  <c r="CD58" i="5"/>
  <c r="CD53" i="5"/>
  <c r="CD52" i="5"/>
  <c r="CD51" i="5"/>
  <c r="CD50" i="5"/>
  <c r="CD49" i="5"/>
  <c r="CD59" i="5"/>
  <c r="CD56" i="5"/>
  <c r="CD69" i="5"/>
  <c r="CD45" i="5"/>
  <c r="CD54" i="5"/>
  <c r="CD32" i="5"/>
  <c r="CD31" i="5"/>
  <c r="CD30" i="5"/>
  <c r="CD40" i="5"/>
  <c r="CD39" i="5"/>
  <c r="CD55" i="5"/>
  <c r="CD42" i="5"/>
  <c r="CD18" i="5"/>
  <c r="CD17" i="5"/>
  <c r="CD46" i="5"/>
  <c r="CD38" i="5"/>
  <c r="CD36" i="5"/>
  <c r="CD35" i="5"/>
  <c r="CD43" i="5"/>
  <c r="CD21" i="5"/>
  <c r="CD33" i="5" s="1"/>
  <c r="CD29" i="5"/>
  <c r="CD27" i="5"/>
  <c r="CD24" i="5"/>
  <c r="CD37" i="5"/>
  <c r="CD23" i="5"/>
  <c r="CE5" i="5"/>
  <c r="CD16" i="5"/>
  <c r="CD14" i="5"/>
  <c r="CD12" i="5"/>
  <c r="CD10" i="5"/>
  <c r="CD26" i="5"/>
  <c r="CD22" i="5"/>
  <c r="CD41" i="5"/>
  <c r="CD44" i="5"/>
  <c r="CD7" i="5"/>
  <c r="CD15" i="5"/>
  <c r="CD11" i="5"/>
  <c r="CD25" i="5"/>
  <c r="CD28" i="5"/>
  <c r="CD9" i="5"/>
  <c r="CD13" i="5"/>
  <c r="CD8" i="5"/>
  <c r="CC61" i="5"/>
  <c r="CC19" i="5"/>
  <c r="CC33" i="5"/>
  <c r="CC47" i="5"/>
  <c r="CD19" i="5" l="1"/>
  <c r="CD47" i="5"/>
  <c r="CD75" i="5"/>
  <c r="CD61" i="5"/>
  <c r="CE74" i="5"/>
  <c r="CE72" i="5"/>
  <c r="CE73" i="5"/>
  <c r="CE71" i="5"/>
  <c r="CE70" i="5"/>
  <c r="CE69" i="5"/>
  <c r="CE67" i="5"/>
  <c r="CE66" i="5"/>
  <c r="CE64" i="5"/>
  <c r="CE57" i="5"/>
  <c r="CE60" i="5"/>
  <c r="CE59" i="5"/>
  <c r="CE56" i="5"/>
  <c r="CE54" i="5"/>
  <c r="CE68" i="5"/>
  <c r="CE63" i="5"/>
  <c r="CE58" i="5"/>
  <c r="CE53" i="5"/>
  <c r="CE52" i="5"/>
  <c r="CE51" i="5"/>
  <c r="CE46" i="5"/>
  <c r="CE45" i="5"/>
  <c r="CE40" i="5"/>
  <c r="CE39" i="5"/>
  <c r="CE50" i="5"/>
  <c r="CE38" i="5"/>
  <c r="CE37" i="5"/>
  <c r="CE36" i="5"/>
  <c r="CE35" i="5"/>
  <c r="CE65" i="5"/>
  <c r="CE55" i="5"/>
  <c r="CE32" i="5"/>
  <c r="CE44" i="5"/>
  <c r="CE29" i="5"/>
  <c r="CE28" i="5"/>
  <c r="CE27" i="5"/>
  <c r="CE26" i="5"/>
  <c r="CE42" i="5"/>
  <c r="CE43" i="5"/>
  <c r="CE31" i="5"/>
  <c r="CE21" i="5"/>
  <c r="CE18" i="5"/>
  <c r="CE24" i="5"/>
  <c r="CE16" i="5"/>
  <c r="CE14" i="5"/>
  <c r="CE12" i="5"/>
  <c r="CE10" i="5"/>
  <c r="CE22" i="5"/>
  <c r="CE41" i="5"/>
  <c r="CE49" i="5"/>
  <c r="CE30" i="5"/>
  <c r="CF5" i="5"/>
  <c r="CE25" i="5"/>
  <c r="CE13" i="5"/>
  <c r="CE7" i="5"/>
  <c r="CE9" i="5"/>
  <c r="CE23" i="5"/>
  <c r="CE17" i="5"/>
  <c r="CE8" i="5"/>
  <c r="CE11" i="5"/>
  <c r="CE15" i="5"/>
  <c r="CF74" i="5" l="1"/>
  <c r="CF72" i="5"/>
  <c r="CF71" i="5"/>
  <c r="CF69" i="5"/>
  <c r="CF73" i="5"/>
  <c r="CF67" i="5"/>
  <c r="CF66" i="5"/>
  <c r="CF70" i="5"/>
  <c r="CF64" i="5"/>
  <c r="CF65" i="5"/>
  <c r="CF57" i="5"/>
  <c r="CF60" i="5"/>
  <c r="CF58" i="5"/>
  <c r="CF56" i="5"/>
  <c r="CF54" i="5"/>
  <c r="CF68" i="5"/>
  <c r="CF59" i="5"/>
  <c r="CF51" i="5"/>
  <c r="CF46" i="5"/>
  <c r="CF49" i="5"/>
  <c r="CF44" i="5"/>
  <c r="CF43" i="5"/>
  <c r="CF42" i="5"/>
  <c r="CF41" i="5"/>
  <c r="CF50" i="5"/>
  <c r="CF38" i="5"/>
  <c r="CF37" i="5"/>
  <c r="CF36" i="5"/>
  <c r="CF35" i="5"/>
  <c r="CF63" i="5"/>
  <c r="CF55" i="5"/>
  <c r="CF52" i="5"/>
  <c r="CF53" i="5"/>
  <c r="CF40" i="5"/>
  <c r="CF39" i="5"/>
  <c r="CF32" i="5"/>
  <c r="CF29" i="5"/>
  <c r="CF28" i="5"/>
  <c r="CF27" i="5"/>
  <c r="CF26" i="5"/>
  <c r="CF30" i="5"/>
  <c r="CF45" i="5"/>
  <c r="CF24" i="5"/>
  <c r="CF22" i="5"/>
  <c r="CF31" i="5"/>
  <c r="CF21" i="5"/>
  <c r="CF18" i="5"/>
  <c r="CF16" i="5"/>
  <c r="CF14" i="5"/>
  <c r="CF12" i="5"/>
  <c r="CF10" i="5"/>
  <c r="CF9" i="5"/>
  <c r="CF13" i="5"/>
  <c r="CG5" i="5"/>
  <c r="CF23" i="5"/>
  <c r="CF17" i="5"/>
  <c r="CF8" i="5"/>
  <c r="CF7" i="5"/>
  <c r="CF11" i="5"/>
  <c r="CF15" i="5"/>
  <c r="CF25" i="5"/>
  <c r="CE33" i="5"/>
  <c r="CE19" i="5"/>
  <c r="CE61" i="5"/>
  <c r="CE75" i="5"/>
  <c r="CE47" i="5"/>
  <c r="CG74" i="5" l="1"/>
  <c r="CG72" i="5"/>
  <c r="CG71" i="5"/>
  <c r="CG70" i="5"/>
  <c r="CG69" i="5"/>
  <c r="CG73" i="5"/>
  <c r="CG67" i="5"/>
  <c r="CG66" i="5"/>
  <c r="CG65" i="5"/>
  <c r="CG60" i="5"/>
  <c r="CG58" i="5"/>
  <c r="CG56" i="5"/>
  <c r="CG57" i="5"/>
  <c r="CG54" i="5"/>
  <c r="CG68" i="5"/>
  <c r="CG51" i="5"/>
  <c r="CG46" i="5"/>
  <c r="CG49" i="5"/>
  <c r="CG44" i="5"/>
  <c r="CG43" i="5"/>
  <c r="CG42" i="5"/>
  <c r="CG41" i="5"/>
  <c r="CG40" i="5"/>
  <c r="CG55" i="5"/>
  <c r="CG53" i="5"/>
  <c r="CG38" i="5"/>
  <c r="CG37" i="5"/>
  <c r="CG36" i="5"/>
  <c r="CG35" i="5"/>
  <c r="CG63" i="5"/>
  <c r="CG59" i="5"/>
  <c r="CG52" i="5"/>
  <c r="CG64" i="5"/>
  <c r="CG50" i="5"/>
  <c r="CG29" i="5"/>
  <c r="CG28" i="5"/>
  <c r="CG27" i="5"/>
  <c r="CG26" i="5"/>
  <c r="CG25" i="5"/>
  <c r="CG24" i="5"/>
  <c r="CG23" i="5"/>
  <c r="CG22" i="5"/>
  <c r="CG21" i="5"/>
  <c r="CG30" i="5"/>
  <c r="CG32" i="5"/>
  <c r="CG16" i="5"/>
  <c r="CG15" i="5"/>
  <c r="CG14" i="5"/>
  <c r="CG13" i="5"/>
  <c r="CG12" i="5"/>
  <c r="CG11" i="5"/>
  <c r="CG10" i="5"/>
  <c r="CG9" i="5"/>
  <c r="CG45" i="5"/>
  <c r="CG8" i="5"/>
  <c r="CG31" i="5"/>
  <c r="CG39" i="5"/>
  <c r="CG18" i="5"/>
  <c r="CG17" i="5"/>
  <c r="CH5" i="5"/>
  <c r="CG7" i="5"/>
  <c r="CF75" i="5"/>
  <c r="CF19" i="5"/>
  <c r="CF33" i="5"/>
  <c r="CF47" i="5"/>
  <c r="CF61" i="5"/>
  <c r="CG33" i="5" l="1"/>
  <c r="CG19" i="5"/>
  <c r="CG61" i="5"/>
  <c r="CG75" i="5"/>
  <c r="CG47" i="5"/>
  <c r="CH74" i="5"/>
  <c r="CH69" i="5"/>
  <c r="CH68" i="5"/>
  <c r="CH67" i="5"/>
  <c r="CH71" i="5"/>
  <c r="CH73" i="5"/>
  <c r="CH70" i="5"/>
  <c r="CH66" i="5"/>
  <c r="CH65" i="5"/>
  <c r="CH63" i="5"/>
  <c r="CH58" i="5"/>
  <c r="CH56" i="5"/>
  <c r="CH59" i="5"/>
  <c r="CH60" i="5"/>
  <c r="CH55" i="5"/>
  <c r="CH64" i="5"/>
  <c r="CH72" i="5"/>
  <c r="CH57" i="5"/>
  <c r="CH54" i="5"/>
  <c r="CH49" i="5"/>
  <c r="CH44" i="5"/>
  <c r="CH43" i="5"/>
  <c r="CH42" i="5"/>
  <c r="CH41" i="5"/>
  <c r="CH40" i="5"/>
  <c r="CH39" i="5"/>
  <c r="CH53" i="5"/>
  <c r="CH52" i="5"/>
  <c r="CH51" i="5"/>
  <c r="CH46" i="5"/>
  <c r="CH45" i="5"/>
  <c r="CH50" i="5"/>
  <c r="CH38" i="5"/>
  <c r="CH37" i="5"/>
  <c r="CH36" i="5"/>
  <c r="CH30" i="5"/>
  <c r="CH35" i="5"/>
  <c r="CH29" i="5"/>
  <c r="CH28" i="5"/>
  <c r="CH27" i="5"/>
  <c r="CH26" i="5"/>
  <c r="CI5" i="5"/>
  <c r="CH22" i="5"/>
  <c r="CH16" i="5"/>
  <c r="CH15" i="5"/>
  <c r="CH14" i="5"/>
  <c r="CH13" i="5"/>
  <c r="CH12" i="5"/>
  <c r="CH11" i="5"/>
  <c r="CH10" i="5"/>
  <c r="CH9" i="5"/>
  <c r="CH25" i="5"/>
  <c r="CH17" i="5"/>
  <c r="CH32" i="5"/>
  <c r="CH24" i="5"/>
  <c r="CH21" i="5"/>
  <c r="CH8" i="5"/>
  <c r="CH23" i="5"/>
  <c r="CH31" i="5"/>
  <c r="CH7" i="5"/>
  <c r="CH18" i="5"/>
  <c r="CH33" i="5" l="1"/>
  <c r="CH47" i="5"/>
  <c r="CI74" i="5"/>
  <c r="CI73" i="5"/>
  <c r="CI69" i="5"/>
  <c r="CI68" i="5"/>
  <c r="CI72" i="5"/>
  <c r="CI70" i="5"/>
  <c r="CI65" i="5"/>
  <c r="CI67" i="5"/>
  <c r="CI71" i="5"/>
  <c r="CI66" i="5"/>
  <c r="CI63" i="5"/>
  <c r="CI60" i="5"/>
  <c r="CI56" i="5"/>
  <c r="CI55" i="5"/>
  <c r="CI54" i="5"/>
  <c r="CI53" i="5"/>
  <c r="CI59" i="5"/>
  <c r="CI58" i="5"/>
  <c r="CI46" i="5"/>
  <c r="CI45" i="5"/>
  <c r="CI64" i="5"/>
  <c r="CI52" i="5"/>
  <c r="CI50" i="5"/>
  <c r="CI49" i="5"/>
  <c r="CI44" i="5"/>
  <c r="CI41" i="5"/>
  <c r="CI57" i="5"/>
  <c r="CI51" i="5"/>
  <c r="CI35" i="5"/>
  <c r="CI43" i="5"/>
  <c r="CI40" i="5"/>
  <c r="CI37" i="5"/>
  <c r="CI31" i="5"/>
  <c r="CI30" i="5"/>
  <c r="CI22" i="5"/>
  <c r="CI16" i="5"/>
  <c r="CI15" i="5"/>
  <c r="CI14" i="5"/>
  <c r="CI13" i="5"/>
  <c r="CI12" i="5"/>
  <c r="CI11" i="5"/>
  <c r="CI10" i="5"/>
  <c r="CI9" i="5"/>
  <c r="CI8" i="5"/>
  <c r="CI7" i="5"/>
  <c r="CI38" i="5"/>
  <c r="CI29" i="5"/>
  <c r="CI27" i="5"/>
  <c r="CI25" i="5"/>
  <c r="CI17" i="5"/>
  <c r="CJ5" i="5"/>
  <c r="CI36" i="5"/>
  <c r="CI26" i="5"/>
  <c r="CI23" i="5"/>
  <c r="CI32" i="5"/>
  <c r="CI28" i="5"/>
  <c r="CI39" i="5"/>
  <c r="CI42" i="5"/>
  <c r="CI21" i="5"/>
  <c r="CI18" i="5"/>
  <c r="CI24" i="5"/>
  <c r="CH75" i="5"/>
  <c r="CH19" i="5"/>
  <c r="CH61" i="5"/>
  <c r="CI19" i="5" l="1"/>
  <c r="CI75" i="5"/>
  <c r="CI61" i="5"/>
  <c r="CI47" i="5"/>
  <c r="CI33" i="5"/>
  <c r="CJ73" i="5"/>
  <c r="CJ74" i="5"/>
  <c r="CJ68" i="5"/>
  <c r="CJ67" i="5"/>
  <c r="CJ66" i="5"/>
  <c r="CJ72" i="5"/>
  <c r="CJ70" i="5"/>
  <c r="CJ69" i="5"/>
  <c r="CJ65" i="5"/>
  <c r="CJ64" i="5"/>
  <c r="CJ71" i="5"/>
  <c r="CJ63" i="5"/>
  <c r="CJ60" i="5"/>
  <c r="CJ59" i="5"/>
  <c r="CJ56" i="5"/>
  <c r="CJ55" i="5"/>
  <c r="CJ52" i="5"/>
  <c r="CJ51" i="5"/>
  <c r="CJ50" i="5"/>
  <c r="CJ53" i="5"/>
  <c r="CJ54" i="5"/>
  <c r="CJ45" i="5"/>
  <c r="CJ41" i="5"/>
  <c r="CJ57" i="5"/>
  <c r="CJ46" i="5"/>
  <c r="CJ42" i="5"/>
  <c r="CJ58" i="5"/>
  <c r="CJ35" i="5"/>
  <c r="CJ44" i="5"/>
  <c r="CJ43" i="5"/>
  <c r="CJ40" i="5"/>
  <c r="CJ37" i="5"/>
  <c r="CJ31" i="5"/>
  <c r="CJ38" i="5"/>
  <c r="CJ29" i="5"/>
  <c r="CJ27" i="5"/>
  <c r="CJ25" i="5"/>
  <c r="CJ17" i="5"/>
  <c r="CJ23" i="5"/>
  <c r="CJ22" i="5"/>
  <c r="CJ16" i="5"/>
  <c r="CJ15" i="5"/>
  <c r="CJ14" i="5"/>
  <c r="CJ13" i="5"/>
  <c r="CJ12" i="5"/>
  <c r="CJ11" i="5"/>
  <c r="CJ10" i="5"/>
  <c r="CJ9" i="5"/>
  <c r="CJ8" i="5"/>
  <c r="CJ7" i="5"/>
  <c r="CJ26" i="5"/>
  <c r="CJ49" i="5"/>
  <c r="CJ30" i="5"/>
  <c r="CJ24" i="5"/>
  <c r="CJ18" i="5"/>
  <c r="CJ32" i="5"/>
  <c r="CJ28" i="5"/>
  <c r="CJ39" i="5"/>
  <c r="CJ36" i="5"/>
  <c r="CJ21" i="5"/>
  <c r="CK5" i="5"/>
  <c r="CJ19" i="5" l="1"/>
  <c r="CK73" i="5"/>
  <c r="CK72" i="5"/>
  <c r="CK70" i="5"/>
  <c r="CK74" i="5"/>
  <c r="CK71" i="5"/>
  <c r="CK69" i="5"/>
  <c r="CK65" i="5"/>
  <c r="CK64" i="5"/>
  <c r="CK63" i="5"/>
  <c r="CK66" i="5"/>
  <c r="CK60" i="5"/>
  <c r="CK59" i="5"/>
  <c r="CK58" i="5"/>
  <c r="CK57" i="5"/>
  <c r="CK67" i="5"/>
  <c r="CK68" i="5"/>
  <c r="CK55" i="5"/>
  <c r="CK52" i="5"/>
  <c r="CK51" i="5"/>
  <c r="CK50" i="5"/>
  <c r="CK53" i="5"/>
  <c r="CK56" i="5"/>
  <c r="CK54" i="5"/>
  <c r="CK45" i="5"/>
  <c r="CK41" i="5"/>
  <c r="CK46" i="5"/>
  <c r="CK42" i="5"/>
  <c r="CK43" i="5"/>
  <c r="CK44" i="5"/>
  <c r="CK40" i="5"/>
  <c r="CK37" i="5"/>
  <c r="CK31" i="5"/>
  <c r="CK49" i="5"/>
  <c r="CK35" i="5"/>
  <c r="CK23" i="5"/>
  <c r="CK39" i="5"/>
  <c r="CK18" i="5"/>
  <c r="CK38" i="5"/>
  <c r="CK29" i="5"/>
  <c r="CK27" i="5"/>
  <c r="CK25" i="5"/>
  <c r="CK17" i="5"/>
  <c r="CK22" i="5"/>
  <c r="CK8" i="5"/>
  <c r="CK30" i="5"/>
  <c r="CK24" i="5"/>
  <c r="CK32" i="5"/>
  <c r="CK28" i="5"/>
  <c r="CK15" i="5"/>
  <c r="CK13" i="5"/>
  <c r="CK11" i="5"/>
  <c r="CK9" i="5"/>
  <c r="CK7" i="5"/>
  <c r="CK19" i="5" s="1"/>
  <c r="CK36" i="5"/>
  <c r="CK26" i="5"/>
  <c r="CK21" i="5"/>
  <c r="CK10" i="5"/>
  <c r="CK12" i="5"/>
  <c r="CL5" i="5"/>
  <c r="CK14" i="5"/>
  <c r="CK16" i="5"/>
  <c r="CJ33" i="5"/>
  <c r="CJ61" i="5"/>
  <c r="CJ47" i="5"/>
  <c r="CJ75" i="5"/>
  <c r="CK47" i="5" l="1"/>
  <c r="CL73" i="5"/>
  <c r="CL70" i="5"/>
  <c r="CL74" i="5"/>
  <c r="CL71" i="5"/>
  <c r="CL68" i="5"/>
  <c r="CL69" i="5"/>
  <c r="CL65" i="5"/>
  <c r="CL63" i="5"/>
  <c r="CL60" i="5"/>
  <c r="CL67" i="5"/>
  <c r="CL66" i="5"/>
  <c r="CL72" i="5"/>
  <c r="CL59" i="5"/>
  <c r="CL52" i="5"/>
  <c r="CL51" i="5"/>
  <c r="CL50" i="5"/>
  <c r="CL49" i="5"/>
  <c r="CL64" i="5"/>
  <c r="CL53" i="5"/>
  <c r="CL55" i="5"/>
  <c r="CL56" i="5"/>
  <c r="CL45" i="5"/>
  <c r="CL57" i="5"/>
  <c r="CL54" i="5"/>
  <c r="CL46" i="5"/>
  <c r="CL42" i="5"/>
  <c r="CL32" i="5"/>
  <c r="CL31" i="5"/>
  <c r="CL30" i="5"/>
  <c r="CL43" i="5"/>
  <c r="CL58" i="5"/>
  <c r="CL44" i="5"/>
  <c r="CL39" i="5"/>
  <c r="CL41" i="5"/>
  <c r="CL18" i="5"/>
  <c r="CL17" i="5"/>
  <c r="CL40" i="5"/>
  <c r="CL37" i="5"/>
  <c r="CL23" i="5"/>
  <c r="CL28" i="5"/>
  <c r="CL26" i="5"/>
  <c r="CL21" i="5"/>
  <c r="CL35" i="5"/>
  <c r="CL38" i="5"/>
  <c r="CL24" i="5"/>
  <c r="CL15" i="5"/>
  <c r="CL13" i="5"/>
  <c r="CL11" i="5"/>
  <c r="CL9" i="5"/>
  <c r="CL7" i="5"/>
  <c r="CL27" i="5"/>
  <c r="CM5" i="5"/>
  <c r="CL36" i="5"/>
  <c r="CL22" i="5"/>
  <c r="CL8" i="5"/>
  <c r="CL10" i="5"/>
  <c r="CL14" i="5"/>
  <c r="CL12" i="5"/>
  <c r="CL29" i="5"/>
  <c r="CL25" i="5"/>
  <c r="CL16" i="5"/>
  <c r="CK61" i="5"/>
  <c r="CK75" i="5"/>
  <c r="CK33" i="5"/>
  <c r="CL47" i="5" l="1"/>
  <c r="CM72" i="5"/>
  <c r="CM71" i="5"/>
  <c r="CM74" i="5"/>
  <c r="CM73" i="5"/>
  <c r="CM70" i="5"/>
  <c r="CM68" i="5"/>
  <c r="CM69" i="5"/>
  <c r="CM67" i="5"/>
  <c r="CM64" i="5"/>
  <c r="CM63" i="5"/>
  <c r="CM57" i="5"/>
  <c r="CM66" i="5"/>
  <c r="CM60" i="5"/>
  <c r="CM53" i="5"/>
  <c r="CM52" i="5"/>
  <c r="CM51" i="5"/>
  <c r="CM56" i="5"/>
  <c r="CM45" i="5"/>
  <c r="CM55" i="5"/>
  <c r="CM50" i="5"/>
  <c r="CM59" i="5"/>
  <c r="CM58" i="5"/>
  <c r="CM43" i="5"/>
  <c r="CM44" i="5"/>
  <c r="CM39" i="5"/>
  <c r="CM40" i="5"/>
  <c r="CM38" i="5"/>
  <c r="CM37" i="5"/>
  <c r="CM36" i="5"/>
  <c r="CM35" i="5"/>
  <c r="CM65" i="5"/>
  <c r="CM54" i="5"/>
  <c r="CM46" i="5"/>
  <c r="CM42" i="5"/>
  <c r="CM49" i="5"/>
  <c r="CM41" i="5"/>
  <c r="CM32" i="5"/>
  <c r="CM29" i="5"/>
  <c r="CM28" i="5"/>
  <c r="CM27" i="5"/>
  <c r="CM26" i="5"/>
  <c r="CM31" i="5"/>
  <c r="CM21" i="5"/>
  <c r="CM18" i="5"/>
  <c r="CM30" i="5"/>
  <c r="CM24" i="5"/>
  <c r="CM23" i="5"/>
  <c r="CM15" i="5"/>
  <c r="CM13" i="5"/>
  <c r="CM11" i="5"/>
  <c r="CM9" i="5"/>
  <c r="CM7" i="5"/>
  <c r="CN5" i="5"/>
  <c r="CM25" i="5"/>
  <c r="CM17" i="5"/>
  <c r="CM8" i="5"/>
  <c r="CM22" i="5"/>
  <c r="CM12" i="5"/>
  <c r="CM14" i="5"/>
  <c r="CM16" i="5"/>
  <c r="CM10" i="5"/>
  <c r="CL19" i="5"/>
  <c r="CL61" i="5"/>
  <c r="CL33" i="5"/>
  <c r="CL75" i="5"/>
  <c r="CM47" i="5" l="1"/>
  <c r="CM33" i="5"/>
  <c r="CM75" i="5"/>
  <c r="CN72" i="5"/>
  <c r="CN74" i="5"/>
  <c r="CN71" i="5"/>
  <c r="CN69" i="5"/>
  <c r="CN68" i="5"/>
  <c r="CN66" i="5"/>
  <c r="CN73" i="5"/>
  <c r="CN70" i="5"/>
  <c r="CN67" i="5"/>
  <c r="CN64" i="5"/>
  <c r="CN63" i="5"/>
  <c r="CN57" i="5"/>
  <c r="CN54" i="5"/>
  <c r="CN60" i="5"/>
  <c r="CN53" i="5"/>
  <c r="CN55" i="5"/>
  <c r="CN52" i="5"/>
  <c r="CN50" i="5"/>
  <c r="CN59" i="5"/>
  <c r="CN58" i="5"/>
  <c r="CN46" i="5"/>
  <c r="CN44" i="5"/>
  <c r="CN43" i="5"/>
  <c r="CN42" i="5"/>
  <c r="CN41" i="5"/>
  <c r="CN56" i="5"/>
  <c r="CN45" i="5"/>
  <c r="CN39" i="5"/>
  <c r="CN40" i="5"/>
  <c r="CN38" i="5"/>
  <c r="CN37" i="5"/>
  <c r="CN36" i="5"/>
  <c r="CN35" i="5"/>
  <c r="CN51" i="5"/>
  <c r="CN49" i="5"/>
  <c r="CN65" i="5"/>
  <c r="CN32" i="5"/>
  <c r="CN29" i="5"/>
  <c r="CN28" i="5"/>
  <c r="CN27" i="5"/>
  <c r="CN26" i="5"/>
  <c r="CN21" i="5"/>
  <c r="CN18" i="5"/>
  <c r="CN30" i="5"/>
  <c r="CN24" i="5"/>
  <c r="CN23" i="5"/>
  <c r="CO5" i="5"/>
  <c r="CN25" i="5"/>
  <c r="CN17" i="5"/>
  <c r="CN31" i="5"/>
  <c r="CN15" i="5"/>
  <c r="CN13" i="5"/>
  <c r="CN11" i="5"/>
  <c r="CN9" i="5"/>
  <c r="CN7" i="5"/>
  <c r="CN22" i="5"/>
  <c r="CN12" i="5"/>
  <c r="CN16" i="5"/>
  <c r="CN10" i="5"/>
  <c r="CN14" i="5"/>
  <c r="CN8" i="5"/>
  <c r="CM61" i="5"/>
  <c r="CM19" i="5"/>
  <c r="CN61" i="5" l="1"/>
  <c r="CN75" i="5"/>
  <c r="CN47" i="5"/>
  <c r="CN19" i="5"/>
  <c r="CO72" i="5"/>
  <c r="CO71" i="5"/>
  <c r="CO70" i="5"/>
  <c r="CO69" i="5"/>
  <c r="CO74" i="5"/>
  <c r="CO73" i="5"/>
  <c r="CO66" i="5"/>
  <c r="CO67" i="5"/>
  <c r="CO68" i="5"/>
  <c r="CO64" i="5"/>
  <c r="CO63" i="5"/>
  <c r="CO57" i="5"/>
  <c r="CO58" i="5"/>
  <c r="CO56" i="5"/>
  <c r="CO54" i="5"/>
  <c r="CO65" i="5"/>
  <c r="CO59" i="5"/>
  <c r="CO46" i="5"/>
  <c r="CO44" i="5"/>
  <c r="CO43" i="5"/>
  <c r="CO42" i="5"/>
  <c r="CO41" i="5"/>
  <c r="CO40" i="5"/>
  <c r="CO49" i="5"/>
  <c r="CO55" i="5"/>
  <c r="CO53" i="5"/>
  <c r="CO52" i="5"/>
  <c r="CO50" i="5"/>
  <c r="CO45" i="5"/>
  <c r="CO38" i="5"/>
  <c r="CO37" i="5"/>
  <c r="CO36" i="5"/>
  <c r="CO35" i="5"/>
  <c r="CO51" i="5"/>
  <c r="CO60" i="5"/>
  <c r="CO39" i="5"/>
  <c r="CO32" i="5"/>
  <c r="CO29" i="5"/>
  <c r="CO28" i="5"/>
  <c r="CO27" i="5"/>
  <c r="CO26" i="5"/>
  <c r="CO25" i="5"/>
  <c r="CO24" i="5"/>
  <c r="CO23" i="5"/>
  <c r="CO22" i="5"/>
  <c r="CO21" i="5"/>
  <c r="CO30" i="5"/>
  <c r="CO16" i="5"/>
  <c r="CO15" i="5"/>
  <c r="CO14" i="5"/>
  <c r="CO13" i="5"/>
  <c r="CO12" i="5"/>
  <c r="CO11" i="5"/>
  <c r="CO10" i="5"/>
  <c r="CO9" i="5"/>
  <c r="CO18" i="5"/>
  <c r="CO17" i="5"/>
  <c r="CO31" i="5"/>
  <c r="CP5" i="5"/>
  <c r="CO8" i="5"/>
  <c r="CO7" i="5"/>
  <c r="CN33" i="5"/>
  <c r="CO75" i="5" l="1"/>
  <c r="CP74" i="5"/>
  <c r="CP71" i="5"/>
  <c r="CP73" i="5"/>
  <c r="CP69" i="5"/>
  <c r="CP68" i="5"/>
  <c r="CP67" i="5"/>
  <c r="CP72" i="5"/>
  <c r="CP66" i="5"/>
  <c r="CP64" i="5"/>
  <c r="CP58" i="5"/>
  <c r="CP56" i="5"/>
  <c r="CP55" i="5"/>
  <c r="CP65" i="5"/>
  <c r="CP63" i="5"/>
  <c r="CP75" i="5" s="1"/>
  <c r="CP57" i="5"/>
  <c r="CP54" i="5"/>
  <c r="CP59" i="5"/>
  <c r="CP46" i="5"/>
  <c r="CP44" i="5"/>
  <c r="CP43" i="5"/>
  <c r="CP42" i="5"/>
  <c r="CP41" i="5"/>
  <c r="CP40" i="5"/>
  <c r="CP39" i="5"/>
  <c r="CP49" i="5"/>
  <c r="CP70" i="5"/>
  <c r="CP60" i="5"/>
  <c r="CP51" i="5"/>
  <c r="CP52" i="5"/>
  <c r="CP53" i="5"/>
  <c r="CP50" i="5"/>
  <c r="CP45" i="5"/>
  <c r="CP38" i="5"/>
  <c r="CP37" i="5"/>
  <c r="CP36" i="5"/>
  <c r="CP30" i="5"/>
  <c r="CP32" i="5"/>
  <c r="CP29" i="5"/>
  <c r="CP28" i="5"/>
  <c r="CP27" i="5"/>
  <c r="CP26" i="5"/>
  <c r="CP24" i="5"/>
  <c r="CQ5" i="5"/>
  <c r="CP16" i="5"/>
  <c r="CP15" i="5"/>
  <c r="CP14" i="5"/>
  <c r="CP13" i="5"/>
  <c r="CP12" i="5"/>
  <c r="CP11" i="5"/>
  <c r="CP10" i="5"/>
  <c r="CP9" i="5"/>
  <c r="CP31" i="5"/>
  <c r="CP22" i="5"/>
  <c r="CP21" i="5"/>
  <c r="CP25" i="5"/>
  <c r="CP18" i="5"/>
  <c r="CP35" i="5"/>
  <c r="CP23" i="5"/>
  <c r="CP17" i="5"/>
  <c r="CP8" i="5"/>
  <c r="CP7" i="5"/>
  <c r="CO47" i="5"/>
  <c r="CO61" i="5"/>
  <c r="CO33" i="5"/>
  <c r="CO19" i="5"/>
  <c r="CP19" i="5" l="1"/>
  <c r="CP61" i="5"/>
  <c r="CP33" i="5"/>
  <c r="CQ74" i="5"/>
  <c r="CQ73" i="5"/>
  <c r="CQ69" i="5"/>
  <c r="CQ68" i="5"/>
  <c r="CQ72" i="5"/>
  <c r="CQ67" i="5"/>
  <c r="CQ65" i="5"/>
  <c r="CQ66" i="5"/>
  <c r="CQ63" i="5"/>
  <c r="CQ60" i="5"/>
  <c r="CQ58" i="5"/>
  <c r="CQ56" i="5"/>
  <c r="CQ55" i="5"/>
  <c r="CQ54" i="5"/>
  <c r="CQ53" i="5"/>
  <c r="CQ64" i="5"/>
  <c r="CQ59" i="5"/>
  <c r="CQ46" i="5"/>
  <c r="CQ45" i="5"/>
  <c r="CQ71" i="5"/>
  <c r="CQ70" i="5"/>
  <c r="CQ49" i="5"/>
  <c r="CQ57" i="5"/>
  <c r="CQ51" i="5"/>
  <c r="CQ44" i="5"/>
  <c r="CQ40" i="5"/>
  <c r="CQ52" i="5"/>
  <c r="CQ50" i="5"/>
  <c r="CQ43" i="5"/>
  <c r="CQ30" i="5"/>
  <c r="CQ41" i="5"/>
  <c r="CQ39" i="5"/>
  <c r="CQ38" i="5"/>
  <c r="CQ36" i="5"/>
  <c r="CQ16" i="5"/>
  <c r="CQ15" i="5"/>
  <c r="CQ14" i="5"/>
  <c r="CQ13" i="5"/>
  <c r="CQ12" i="5"/>
  <c r="CQ11" i="5"/>
  <c r="CQ10" i="5"/>
  <c r="CQ9" i="5"/>
  <c r="CQ8" i="5"/>
  <c r="CQ7" i="5"/>
  <c r="CQ31" i="5"/>
  <c r="CQ28" i="5"/>
  <c r="CQ26" i="5"/>
  <c r="CQ22" i="5"/>
  <c r="CQ42" i="5"/>
  <c r="CQ25" i="5"/>
  <c r="CQ17" i="5"/>
  <c r="CQ24" i="5"/>
  <c r="CR5" i="5"/>
  <c r="CQ18" i="5"/>
  <c r="CQ32" i="5"/>
  <c r="CQ27" i="5"/>
  <c r="CQ35" i="5"/>
  <c r="CQ37" i="5"/>
  <c r="CQ29" i="5"/>
  <c r="CQ23" i="5"/>
  <c r="CQ21" i="5"/>
  <c r="CQ33" i="5" s="1"/>
  <c r="CP47" i="5"/>
  <c r="CR74" i="5" l="1"/>
  <c r="CR73" i="5"/>
  <c r="CR69" i="5"/>
  <c r="CR68" i="5"/>
  <c r="CR67" i="5"/>
  <c r="CR66" i="5"/>
  <c r="CR70" i="5"/>
  <c r="CR65" i="5"/>
  <c r="CR64" i="5"/>
  <c r="CR71" i="5"/>
  <c r="CR63" i="5"/>
  <c r="CR60" i="5"/>
  <c r="CR72" i="5"/>
  <c r="CR59" i="5"/>
  <c r="CR58" i="5"/>
  <c r="CR56" i="5"/>
  <c r="CR57" i="5"/>
  <c r="CR52" i="5"/>
  <c r="CR51" i="5"/>
  <c r="CR50" i="5"/>
  <c r="CR54" i="5"/>
  <c r="CR49" i="5"/>
  <c r="CR46" i="5"/>
  <c r="CR44" i="5"/>
  <c r="CR55" i="5"/>
  <c r="CR53" i="5"/>
  <c r="CR40" i="5"/>
  <c r="CR43" i="5"/>
  <c r="CR41" i="5"/>
  <c r="CR39" i="5"/>
  <c r="CR38" i="5"/>
  <c r="CR36" i="5"/>
  <c r="CR31" i="5"/>
  <c r="CR30" i="5"/>
  <c r="CR28" i="5"/>
  <c r="CR26" i="5"/>
  <c r="CR22" i="5"/>
  <c r="CR42" i="5"/>
  <c r="CR25" i="5"/>
  <c r="CR17" i="5"/>
  <c r="CR32" i="5"/>
  <c r="CR16" i="5"/>
  <c r="CR15" i="5"/>
  <c r="CR14" i="5"/>
  <c r="CR13" i="5"/>
  <c r="CR12" i="5"/>
  <c r="CR11" i="5"/>
  <c r="CR10" i="5"/>
  <c r="CR9" i="5"/>
  <c r="CR8" i="5"/>
  <c r="CR7" i="5"/>
  <c r="CR45" i="5"/>
  <c r="CR27" i="5"/>
  <c r="CR35" i="5"/>
  <c r="CR37" i="5"/>
  <c r="CR29" i="5"/>
  <c r="CR24" i="5"/>
  <c r="CR18" i="5"/>
  <c r="CS5" i="5"/>
  <c r="CR21" i="5"/>
  <c r="CR23" i="5"/>
  <c r="CQ75" i="5"/>
  <c r="CQ19" i="5"/>
  <c r="CQ47" i="5"/>
  <c r="CQ61" i="5"/>
  <c r="CR61" i="5" l="1"/>
  <c r="CR33" i="5"/>
  <c r="CR19" i="5"/>
  <c r="CR75" i="5"/>
  <c r="CR47" i="5"/>
  <c r="CS74" i="5"/>
  <c r="CS73" i="5"/>
  <c r="CS70" i="5"/>
  <c r="CS67" i="5"/>
  <c r="CS65" i="5"/>
  <c r="CS64" i="5"/>
  <c r="CS63" i="5"/>
  <c r="CS71" i="5"/>
  <c r="CS60" i="5"/>
  <c r="CS59" i="5"/>
  <c r="CS58" i="5"/>
  <c r="CS57" i="5"/>
  <c r="CS69" i="5"/>
  <c r="CS72" i="5"/>
  <c r="CS68" i="5"/>
  <c r="CS52" i="5"/>
  <c r="CS51" i="5"/>
  <c r="CS50" i="5"/>
  <c r="CS55" i="5"/>
  <c r="CS66" i="5"/>
  <c r="CS49" i="5"/>
  <c r="CS54" i="5"/>
  <c r="CS53" i="5"/>
  <c r="CS56" i="5"/>
  <c r="CS44" i="5"/>
  <c r="CS39" i="5"/>
  <c r="CS38" i="5"/>
  <c r="CS36" i="5"/>
  <c r="CS46" i="5"/>
  <c r="CS31" i="5"/>
  <c r="CS45" i="5"/>
  <c r="CS35" i="5"/>
  <c r="CS43" i="5"/>
  <c r="CS41" i="5"/>
  <c r="CS42" i="5"/>
  <c r="CS30" i="5"/>
  <c r="CS25" i="5"/>
  <c r="CS17" i="5"/>
  <c r="CS32" i="5"/>
  <c r="CS23" i="5"/>
  <c r="CS28" i="5"/>
  <c r="CS26" i="5"/>
  <c r="CS22" i="5"/>
  <c r="CS37" i="5"/>
  <c r="CS29" i="5"/>
  <c r="CS21" i="5"/>
  <c r="CS16" i="5"/>
  <c r="CS14" i="5"/>
  <c r="CS12" i="5"/>
  <c r="CS10" i="5"/>
  <c r="CS8" i="5"/>
  <c r="CS40" i="5"/>
  <c r="CS27" i="5"/>
  <c r="CS7" i="5"/>
  <c r="CS15" i="5"/>
  <c r="CS11" i="5"/>
  <c r="CT5" i="5"/>
  <c r="CS18" i="5"/>
  <c r="CS13" i="5"/>
  <c r="CS24" i="5"/>
  <c r="CS9" i="5"/>
  <c r="CT73" i="5" l="1"/>
  <c r="CT70" i="5"/>
  <c r="CT72" i="5"/>
  <c r="CT74" i="5"/>
  <c r="CT71" i="5"/>
  <c r="CT68" i="5"/>
  <c r="CT67" i="5"/>
  <c r="CT60" i="5"/>
  <c r="CT69" i="5"/>
  <c r="CT63" i="5"/>
  <c r="CT65" i="5"/>
  <c r="CT59" i="5"/>
  <c r="CT64" i="5"/>
  <c r="CT52" i="5"/>
  <c r="CT51" i="5"/>
  <c r="CT50" i="5"/>
  <c r="CT49" i="5"/>
  <c r="CT57" i="5"/>
  <c r="CT55" i="5"/>
  <c r="CT58" i="5"/>
  <c r="CT56" i="5"/>
  <c r="CT53" i="5"/>
  <c r="CT45" i="5"/>
  <c r="CT66" i="5"/>
  <c r="CT32" i="5"/>
  <c r="CT31" i="5"/>
  <c r="CT30" i="5"/>
  <c r="CT54" i="5"/>
  <c r="CT41" i="5"/>
  <c r="CT46" i="5"/>
  <c r="CT18" i="5"/>
  <c r="CT17" i="5"/>
  <c r="CT35" i="5"/>
  <c r="CT42" i="5"/>
  <c r="CT44" i="5"/>
  <c r="CT39" i="5"/>
  <c r="CT38" i="5"/>
  <c r="CT36" i="5"/>
  <c r="CT23" i="5"/>
  <c r="CT29" i="5"/>
  <c r="CT27" i="5"/>
  <c r="CT43" i="5"/>
  <c r="CT25" i="5"/>
  <c r="CT37" i="5"/>
  <c r="CT28" i="5"/>
  <c r="CT21" i="5"/>
  <c r="CT16" i="5"/>
  <c r="CT14" i="5"/>
  <c r="CT12" i="5"/>
  <c r="CT10" i="5"/>
  <c r="CT8" i="5"/>
  <c r="CT40" i="5"/>
  <c r="CT11" i="5"/>
  <c r="CU5" i="5"/>
  <c r="CT24" i="5"/>
  <c r="CT13" i="5"/>
  <c r="CT15" i="5"/>
  <c r="CT9" i="5"/>
  <c r="CT26" i="5"/>
  <c r="CT22" i="5"/>
  <c r="CT7" i="5"/>
  <c r="CS33" i="5"/>
  <c r="CS75" i="5"/>
  <c r="CS61" i="5"/>
  <c r="CS47" i="5"/>
  <c r="CS19" i="5"/>
  <c r="CU73" i="5" l="1"/>
  <c r="CU72" i="5"/>
  <c r="CU70" i="5"/>
  <c r="CU74" i="5"/>
  <c r="CU71" i="5"/>
  <c r="CU69" i="5"/>
  <c r="CU63" i="5"/>
  <c r="CU67" i="5"/>
  <c r="CU68" i="5"/>
  <c r="CU65" i="5"/>
  <c r="CU66" i="5"/>
  <c r="CU64" i="5"/>
  <c r="CU60" i="5"/>
  <c r="CU59" i="5"/>
  <c r="CU57" i="5"/>
  <c r="CU55" i="5"/>
  <c r="CU58" i="5"/>
  <c r="CU56" i="5"/>
  <c r="CU53" i="5"/>
  <c r="CU52" i="5"/>
  <c r="CU51" i="5"/>
  <c r="CU45" i="5"/>
  <c r="CU49" i="5"/>
  <c r="CU54" i="5"/>
  <c r="CU41" i="5"/>
  <c r="CU42" i="5"/>
  <c r="CU39" i="5"/>
  <c r="CU38" i="5"/>
  <c r="CU37" i="5"/>
  <c r="CU36" i="5"/>
  <c r="CU35" i="5"/>
  <c r="CU47" i="5" s="1"/>
  <c r="CU50" i="5"/>
  <c r="CU31" i="5"/>
  <c r="CU29" i="5"/>
  <c r="CU28" i="5"/>
  <c r="CU27" i="5"/>
  <c r="CU26" i="5"/>
  <c r="CU46" i="5"/>
  <c r="CU32" i="5"/>
  <c r="CU23" i="5"/>
  <c r="CU44" i="5"/>
  <c r="CU21" i="5"/>
  <c r="CU18" i="5"/>
  <c r="CU30" i="5"/>
  <c r="CU17" i="5"/>
  <c r="CU16" i="5"/>
  <c r="CU14" i="5"/>
  <c r="CU12" i="5"/>
  <c r="CU10" i="5"/>
  <c r="CU8" i="5"/>
  <c r="CU7" i="5"/>
  <c r="CU40" i="5"/>
  <c r="CU43" i="5"/>
  <c r="CU25" i="5"/>
  <c r="CU9" i="5"/>
  <c r="CU13" i="5"/>
  <c r="CU15" i="5"/>
  <c r="CU24" i="5"/>
  <c r="CU22" i="5"/>
  <c r="CU11" i="5"/>
  <c r="CV5" i="5"/>
  <c r="CT19" i="5"/>
  <c r="CT33" i="5"/>
  <c r="CT75" i="5"/>
  <c r="CT47" i="5"/>
  <c r="CT61" i="5"/>
  <c r="CU75" i="5" l="1"/>
  <c r="CV72" i="5"/>
  <c r="CV74" i="5"/>
  <c r="CV71" i="5"/>
  <c r="CV73" i="5"/>
  <c r="CV69" i="5"/>
  <c r="CV67" i="5"/>
  <c r="CV68" i="5"/>
  <c r="CV65" i="5"/>
  <c r="CV66" i="5"/>
  <c r="CV60" i="5"/>
  <c r="CV70" i="5"/>
  <c r="CV57" i="5"/>
  <c r="CV64" i="5"/>
  <c r="CV58" i="5"/>
  <c r="CV56" i="5"/>
  <c r="CV53" i="5"/>
  <c r="CV59" i="5"/>
  <c r="CV55" i="5"/>
  <c r="CV45" i="5"/>
  <c r="CV51" i="5"/>
  <c r="CV54" i="5"/>
  <c r="CV44" i="5"/>
  <c r="CV43" i="5"/>
  <c r="CV42" i="5"/>
  <c r="CV41" i="5"/>
  <c r="CV63" i="5"/>
  <c r="CV52" i="5"/>
  <c r="CV39" i="5"/>
  <c r="CV38" i="5"/>
  <c r="CV37" i="5"/>
  <c r="CV36" i="5"/>
  <c r="CV35" i="5"/>
  <c r="CV50" i="5"/>
  <c r="CV49" i="5"/>
  <c r="CV29" i="5"/>
  <c r="CV28" i="5"/>
  <c r="CV27" i="5"/>
  <c r="CV26" i="5"/>
  <c r="CV32" i="5"/>
  <c r="CV31" i="5"/>
  <c r="CV21" i="5"/>
  <c r="CV18" i="5"/>
  <c r="CV40" i="5"/>
  <c r="CV24" i="5"/>
  <c r="CV23" i="5"/>
  <c r="CV46" i="5"/>
  <c r="CV30" i="5"/>
  <c r="CV7" i="5"/>
  <c r="CV22" i="5"/>
  <c r="CW5" i="5"/>
  <c r="CV16" i="5"/>
  <c r="CV14" i="5"/>
  <c r="CV12" i="5"/>
  <c r="CV10" i="5"/>
  <c r="CV8" i="5"/>
  <c r="CV13" i="5"/>
  <c r="CV11" i="5"/>
  <c r="CV25" i="5"/>
  <c r="CV15" i="5"/>
  <c r="CV9" i="5"/>
  <c r="CV17" i="5"/>
  <c r="CU19" i="5"/>
  <c r="CU61" i="5"/>
  <c r="CU33" i="5"/>
  <c r="CV61" i="5" l="1"/>
  <c r="CV75" i="5"/>
  <c r="CW72" i="5"/>
  <c r="CW71" i="5"/>
  <c r="CW70" i="5"/>
  <c r="CW69" i="5"/>
  <c r="CW74" i="5"/>
  <c r="CW66" i="5"/>
  <c r="CW68" i="5"/>
  <c r="CW65" i="5"/>
  <c r="CW73" i="5"/>
  <c r="CW64" i="5"/>
  <c r="CW60" i="5"/>
  <c r="CW57" i="5"/>
  <c r="CW56" i="5"/>
  <c r="CW67" i="5"/>
  <c r="CW59" i="5"/>
  <c r="CW54" i="5"/>
  <c r="CW58" i="5"/>
  <c r="CW53" i="5"/>
  <c r="CW51" i="5"/>
  <c r="CW44" i="5"/>
  <c r="CW43" i="5"/>
  <c r="CW42" i="5"/>
  <c r="CW41" i="5"/>
  <c r="CW40" i="5"/>
  <c r="CW50" i="5"/>
  <c r="CW46" i="5"/>
  <c r="CW45" i="5"/>
  <c r="CW52" i="5"/>
  <c r="CW39" i="5"/>
  <c r="CW38" i="5"/>
  <c r="CW37" i="5"/>
  <c r="CW36" i="5"/>
  <c r="CW35" i="5"/>
  <c r="CW55" i="5"/>
  <c r="CW63" i="5"/>
  <c r="CW49" i="5"/>
  <c r="CW29" i="5"/>
  <c r="CW28" i="5"/>
  <c r="CW27" i="5"/>
  <c r="CW26" i="5"/>
  <c r="CW25" i="5"/>
  <c r="CW24" i="5"/>
  <c r="CW23" i="5"/>
  <c r="CW22" i="5"/>
  <c r="CW21" i="5"/>
  <c r="CW32" i="5"/>
  <c r="CW31" i="5"/>
  <c r="CW18" i="5"/>
  <c r="CW16" i="5"/>
  <c r="CW15" i="5"/>
  <c r="CW14" i="5"/>
  <c r="CW13" i="5"/>
  <c r="CW12" i="5"/>
  <c r="CW11" i="5"/>
  <c r="CW10" i="5"/>
  <c r="CW9" i="5"/>
  <c r="CW7" i="5"/>
  <c r="CX5" i="5"/>
  <c r="CW30" i="5"/>
  <c r="CW8" i="5"/>
  <c r="CW17" i="5"/>
  <c r="CV33" i="5"/>
  <c r="CV19" i="5"/>
  <c r="CV47" i="5"/>
  <c r="CW61" i="5" l="1"/>
  <c r="CX74" i="5"/>
  <c r="CX72" i="5"/>
  <c r="CX71" i="5"/>
  <c r="CX68" i="5"/>
  <c r="CX67" i="5"/>
  <c r="CX69" i="5"/>
  <c r="CX66" i="5"/>
  <c r="CX73" i="5"/>
  <c r="CX64" i="5"/>
  <c r="CX57" i="5"/>
  <c r="CX70" i="5"/>
  <c r="CX65" i="5"/>
  <c r="CX56" i="5"/>
  <c r="CX55" i="5"/>
  <c r="CX58" i="5"/>
  <c r="CX60" i="5"/>
  <c r="CX54" i="5"/>
  <c r="CX63" i="5"/>
  <c r="CX59" i="5"/>
  <c r="CX44" i="5"/>
  <c r="CX43" i="5"/>
  <c r="CX42" i="5"/>
  <c r="CX41" i="5"/>
  <c r="CX40" i="5"/>
  <c r="CX39" i="5"/>
  <c r="CX50" i="5"/>
  <c r="CX46" i="5"/>
  <c r="CX52" i="5"/>
  <c r="CX49" i="5"/>
  <c r="CX51" i="5"/>
  <c r="CX53" i="5"/>
  <c r="CX38" i="5"/>
  <c r="CX37" i="5"/>
  <c r="CX36" i="5"/>
  <c r="CX35" i="5"/>
  <c r="CX32" i="5"/>
  <c r="CX45" i="5"/>
  <c r="CX30" i="5"/>
  <c r="CX29" i="5"/>
  <c r="CX28" i="5"/>
  <c r="CX27" i="5"/>
  <c r="CX26" i="5"/>
  <c r="CX21" i="5"/>
  <c r="CY5" i="5"/>
  <c r="CX24" i="5"/>
  <c r="CX16" i="5"/>
  <c r="CX15" i="5"/>
  <c r="CX14" i="5"/>
  <c r="CX13" i="5"/>
  <c r="CX12" i="5"/>
  <c r="CX11" i="5"/>
  <c r="CX10" i="5"/>
  <c r="CX9" i="5"/>
  <c r="CX31" i="5"/>
  <c r="CX18" i="5"/>
  <c r="CX22" i="5"/>
  <c r="CX7" i="5"/>
  <c r="CX17" i="5"/>
  <c r="CX8" i="5"/>
  <c r="CX25" i="5"/>
  <c r="CX23" i="5"/>
  <c r="CW19" i="5"/>
  <c r="CW47" i="5"/>
  <c r="CW75" i="5"/>
  <c r="CW33" i="5"/>
  <c r="CX75" i="5" l="1"/>
  <c r="CY74" i="5"/>
  <c r="CY73" i="5"/>
  <c r="CY72" i="5"/>
  <c r="CY71" i="5"/>
  <c r="CY68" i="5"/>
  <c r="CY69" i="5"/>
  <c r="CY66" i="5"/>
  <c r="CY70" i="5"/>
  <c r="CY65" i="5"/>
  <c r="CY64" i="5"/>
  <c r="CY60" i="5"/>
  <c r="CY56" i="5"/>
  <c r="CY55" i="5"/>
  <c r="CY54" i="5"/>
  <c r="CY53" i="5"/>
  <c r="CY58" i="5"/>
  <c r="CY57" i="5"/>
  <c r="CY46" i="5"/>
  <c r="CY45" i="5"/>
  <c r="CY63" i="5"/>
  <c r="CY50" i="5"/>
  <c r="CY67" i="5"/>
  <c r="CY52" i="5"/>
  <c r="CY49" i="5"/>
  <c r="CY59" i="5"/>
  <c r="CY44" i="5"/>
  <c r="CY41" i="5"/>
  <c r="CY42" i="5"/>
  <c r="CY43" i="5"/>
  <c r="CY40" i="5"/>
  <c r="CY51" i="5"/>
  <c r="CY39" i="5"/>
  <c r="CY30" i="5"/>
  <c r="CY37" i="5"/>
  <c r="CY35" i="5"/>
  <c r="CY32" i="5"/>
  <c r="CY24" i="5"/>
  <c r="CY16" i="5"/>
  <c r="CY15" i="5"/>
  <c r="CY14" i="5"/>
  <c r="CY13" i="5"/>
  <c r="CY12" i="5"/>
  <c r="CY11" i="5"/>
  <c r="CY10" i="5"/>
  <c r="CY9" i="5"/>
  <c r="CY8" i="5"/>
  <c r="CY7" i="5"/>
  <c r="CY19" i="5" s="1"/>
  <c r="CY29" i="5"/>
  <c r="CY27" i="5"/>
  <c r="CY36" i="5"/>
  <c r="CY22" i="5"/>
  <c r="CY21" i="5"/>
  <c r="CZ5" i="5"/>
  <c r="CY31" i="5"/>
  <c r="CY28" i="5"/>
  <c r="CY38" i="5"/>
  <c r="CY18" i="5"/>
  <c r="CY23" i="5"/>
  <c r="CY25" i="5"/>
  <c r="CY17" i="5"/>
  <c r="CY26" i="5"/>
  <c r="CX47" i="5"/>
  <c r="CX61" i="5"/>
  <c r="CX33" i="5"/>
  <c r="CX19" i="5"/>
  <c r="CY33" i="5" l="1"/>
  <c r="CY47" i="5"/>
  <c r="CY75" i="5"/>
  <c r="CZ74" i="5"/>
  <c r="CZ68" i="5"/>
  <c r="CZ67" i="5"/>
  <c r="CZ66" i="5"/>
  <c r="CZ69" i="5"/>
  <c r="CZ73" i="5"/>
  <c r="CZ70" i="5"/>
  <c r="CZ65" i="5"/>
  <c r="CZ64" i="5"/>
  <c r="CZ72" i="5"/>
  <c r="CZ71" i="5"/>
  <c r="CZ60" i="5"/>
  <c r="CZ63" i="5"/>
  <c r="CZ75" i="5" s="1"/>
  <c r="CZ58" i="5"/>
  <c r="CZ59" i="5"/>
  <c r="CZ56" i="5"/>
  <c r="CZ54" i="5"/>
  <c r="CZ52" i="5"/>
  <c r="CZ51" i="5"/>
  <c r="CZ50" i="5"/>
  <c r="CZ57" i="5"/>
  <c r="CZ49" i="5"/>
  <c r="CZ46" i="5"/>
  <c r="CZ53" i="5"/>
  <c r="CZ42" i="5"/>
  <c r="CZ55" i="5"/>
  <c r="CZ43" i="5"/>
  <c r="CZ40" i="5"/>
  <c r="CZ41" i="5"/>
  <c r="CZ45" i="5"/>
  <c r="CZ30" i="5"/>
  <c r="CZ37" i="5"/>
  <c r="CZ29" i="5"/>
  <c r="CZ27" i="5"/>
  <c r="CZ44" i="5"/>
  <c r="CZ39" i="5"/>
  <c r="CZ36" i="5"/>
  <c r="CZ22" i="5"/>
  <c r="CZ25" i="5"/>
  <c r="CZ17" i="5"/>
  <c r="CZ32" i="5"/>
  <c r="CZ24" i="5"/>
  <c r="CZ16" i="5"/>
  <c r="CZ15" i="5"/>
  <c r="CZ14" i="5"/>
  <c r="CZ13" i="5"/>
  <c r="CZ12" i="5"/>
  <c r="CZ11" i="5"/>
  <c r="CZ10" i="5"/>
  <c r="CZ9" i="5"/>
  <c r="CZ8" i="5"/>
  <c r="CZ7" i="5"/>
  <c r="CZ21" i="5"/>
  <c r="CZ33" i="5" s="1"/>
  <c r="DA5" i="5"/>
  <c r="CZ35" i="5"/>
  <c r="CZ23" i="5"/>
  <c r="CZ26" i="5"/>
  <c r="CZ38" i="5"/>
  <c r="CZ31" i="5"/>
  <c r="CZ28" i="5"/>
  <c r="CZ18" i="5"/>
  <c r="CY61" i="5"/>
  <c r="CZ19" i="5" l="1"/>
  <c r="CZ47" i="5"/>
  <c r="DA74" i="5"/>
  <c r="DA69" i="5"/>
  <c r="DA73" i="5"/>
  <c r="DA71" i="5"/>
  <c r="DA72" i="5"/>
  <c r="DA70" i="5"/>
  <c r="DA65" i="5"/>
  <c r="DA64" i="5"/>
  <c r="DA63" i="5"/>
  <c r="DA68" i="5"/>
  <c r="DA67" i="5"/>
  <c r="DA66" i="5"/>
  <c r="DA60" i="5"/>
  <c r="DA59" i="5"/>
  <c r="DA58" i="5"/>
  <c r="DA57" i="5"/>
  <c r="DA52" i="5"/>
  <c r="DA51" i="5"/>
  <c r="DA50" i="5"/>
  <c r="DA56" i="5"/>
  <c r="DA54" i="5"/>
  <c r="DA53" i="5"/>
  <c r="DA49" i="5"/>
  <c r="DA46" i="5"/>
  <c r="DA55" i="5"/>
  <c r="DA43" i="5"/>
  <c r="DA40" i="5"/>
  <c r="DA45" i="5"/>
  <c r="DA42" i="5"/>
  <c r="DA37" i="5"/>
  <c r="DA31" i="5"/>
  <c r="DA30" i="5"/>
  <c r="DA44" i="5"/>
  <c r="DA39" i="5"/>
  <c r="DA36" i="5"/>
  <c r="DA22" i="5"/>
  <c r="DA25" i="5"/>
  <c r="DA17" i="5"/>
  <c r="DA35" i="5"/>
  <c r="DA29" i="5"/>
  <c r="DA27" i="5"/>
  <c r="DA32" i="5"/>
  <c r="DA41" i="5"/>
  <c r="DA23" i="5"/>
  <c r="DA15" i="5"/>
  <c r="DA13" i="5"/>
  <c r="DA11" i="5"/>
  <c r="DA9" i="5"/>
  <c r="DA26" i="5"/>
  <c r="DA38" i="5"/>
  <c r="DA21" i="5"/>
  <c r="DB5" i="5"/>
  <c r="DA28" i="5"/>
  <c r="DA14" i="5"/>
  <c r="DA18" i="5"/>
  <c r="DA8" i="5"/>
  <c r="DA7" i="5"/>
  <c r="DA24" i="5"/>
  <c r="DA16" i="5"/>
  <c r="DA10" i="5"/>
  <c r="DA12" i="5"/>
  <c r="CZ61" i="5"/>
  <c r="DB74" i="5" l="1"/>
  <c r="DB73" i="5"/>
  <c r="DB70" i="5"/>
  <c r="DB71" i="5"/>
  <c r="DB69" i="5"/>
  <c r="DB72" i="5"/>
  <c r="DB68" i="5"/>
  <c r="DB67" i="5"/>
  <c r="DB64" i="5"/>
  <c r="DB60" i="5"/>
  <c r="DB66" i="5"/>
  <c r="DB63" i="5"/>
  <c r="DB65" i="5"/>
  <c r="DB59" i="5"/>
  <c r="DB58" i="5"/>
  <c r="DB52" i="5"/>
  <c r="DB51" i="5"/>
  <c r="DB50" i="5"/>
  <c r="DB49" i="5"/>
  <c r="DB57" i="5"/>
  <c r="DB53" i="5"/>
  <c r="DB54" i="5"/>
  <c r="DB55" i="5"/>
  <c r="DB32" i="5"/>
  <c r="DB31" i="5"/>
  <c r="DB30" i="5"/>
  <c r="DB45" i="5"/>
  <c r="DB46" i="5"/>
  <c r="DB44" i="5"/>
  <c r="DB56" i="5"/>
  <c r="DB43" i="5"/>
  <c r="DB40" i="5"/>
  <c r="DB18" i="5"/>
  <c r="DB17" i="5"/>
  <c r="DB42" i="5"/>
  <c r="DB37" i="5"/>
  <c r="DB25" i="5"/>
  <c r="DB35" i="5"/>
  <c r="DB38" i="5"/>
  <c r="DB28" i="5"/>
  <c r="DB26" i="5"/>
  <c r="DB23" i="5"/>
  <c r="DB39" i="5"/>
  <c r="DB36" i="5"/>
  <c r="DB22" i="5"/>
  <c r="DB41" i="5"/>
  <c r="DB29" i="5"/>
  <c r="DB15" i="5"/>
  <c r="DB13" i="5"/>
  <c r="DB11" i="5"/>
  <c r="DB9" i="5"/>
  <c r="DB24" i="5"/>
  <c r="DB27" i="5"/>
  <c r="DB14" i="5"/>
  <c r="DB21" i="5"/>
  <c r="DB7" i="5"/>
  <c r="DB19" i="5" s="1"/>
  <c r="DB8" i="5"/>
  <c r="DB16" i="5"/>
  <c r="DB12" i="5"/>
  <c r="DC5" i="5"/>
  <c r="DB10" i="5"/>
  <c r="DA19" i="5"/>
  <c r="DA75" i="5"/>
  <c r="DA33" i="5"/>
  <c r="DA47" i="5"/>
  <c r="DA61" i="5"/>
  <c r="DB47" i="5" l="1"/>
  <c r="DB61" i="5"/>
  <c r="DB33" i="5"/>
  <c r="DC74" i="5"/>
  <c r="DC73" i="5"/>
  <c r="DC72" i="5"/>
  <c r="DC70" i="5"/>
  <c r="DC68" i="5"/>
  <c r="DC67" i="5"/>
  <c r="DC69" i="5"/>
  <c r="DC66" i="5"/>
  <c r="DC63" i="5"/>
  <c r="DC59" i="5"/>
  <c r="DC65" i="5"/>
  <c r="DC64" i="5"/>
  <c r="DC71" i="5"/>
  <c r="DC55" i="5"/>
  <c r="DC53" i="5"/>
  <c r="DC52" i="5"/>
  <c r="DC51" i="5"/>
  <c r="DC58" i="5"/>
  <c r="DC54" i="5"/>
  <c r="DC60" i="5"/>
  <c r="DC45" i="5"/>
  <c r="DC57" i="5"/>
  <c r="DC50" i="5"/>
  <c r="DC46" i="5"/>
  <c r="DC44" i="5"/>
  <c r="DC38" i="5"/>
  <c r="DC37" i="5"/>
  <c r="DC36" i="5"/>
  <c r="DC35" i="5"/>
  <c r="DC56" i="5"/>
  <c r="DC42" i="5"/>
  <c r="DC31" i="5"/>
  <c r="DC40" i="5"/>
  <c r="DC29" i="5"/>
  <c r="DC28" i="5"/>
  <c r="DC27" i="5"/>
  <c r="DC26" i="5"/>
  <c r="DC49" i="5"/>
  <c r="DC17" i="5"/>
  <c r="DC23" i="5"/>
  <c r="DC41" i="5"/>
  <c r="DC25" i="5"/>
  <c r="DC22" i="5"/>
  <c r="DC15" i="5"/>
  <c r="DC13" i="5"/>
  <c r="DC11" i="5"/>
  <c r="DC9" i="5"/>
  <c r="DC24" i="5"/>
  <c r="DC18" i="5"/>
  <c r="DC8" i="5"/>
  <c r="DC39" i="5"/>
  <c r="DC43" i="5"/>
  <c r="DC32" i="5"/>
  <c r="DC21" i="5"/>
  <c r="DC7" i="5"/>
  <c r="DC12" i="5"/>
  <c r="DC16" i="5"/>
  <c r="DC10" i="5"/>
  <c r="DD5" i="5"/>
  <c r="DC30" i="5"/>
  <c r="DC14" i="5"/>
  <c r="DB75" i="5"/>
  <c r="DC47" i="5" l="1"/>
  <c r="DD73" i="5"/>
  <c r="DD72" i="5"/>
  <c r="DD71" i="5"/>
  <c r="DD74" i="5"/>
  <c r="DD70" i="5"/>
  <c r="DD69" i="5"/>
  <c r="DD68" i="5"/>
  <c r="DD67" i="5"/>
  <c r="DD63" i="5"/>
  <c r="DD59" i="5"/>
  <c r="DD55" i="5"/>
  <c r="DD53" i="5"/>
  <c r="DD65" i="5"/>
  <c r="DD66" i="5"/>
  <c r="DD64" i="5"/>
  <c r="DD60" i="5"/>
  <c r="DD52" i="5"/>
  <c r="DD45" i="5"/>
  <c r="DD44" i="5"/>
  <c r="DD43" i="5"/>
  <c r="DD42" i="5"/>
  <c r="DD41" i="5"/>
  <c r="DD58" i="5"/>
  <c r="DD54" i="5"/>
  <c r="DD46" i="5"/>
  <c r="DD57" i="5"/>
  <c r="DD50" i="5"/>
  <c r="DD38" i="5"/>
  <c r="DD37" i="5"/>
  <c r="DD36" i="5"/>
  <c r="DD35" i="5"/>
  <c r="DD47" i="5" s="1"/>
  <c r="DD39" i="5"/>
  <c r="DD56" i="5"/>
  <c r="DD51" i="5"/>
  <c r="DD31" i="5"/>
  <c r="DD40" i="5"/>
  <c r="DD29" i="5"/>
  <c r="DD28" i="5"/>
  <c r="DD27" i="5"/>
  <c r="DD26" i="5"/>
  <c r="DD25" i="5"/>
  <c r="DD23" i="5"/>
  <c r="DD21" i="5"/>
  <c r="DD18" i="5"/>
  <c r="DD49" i="5"/>
  <c r="DD17" i="5"/>
  <c r="DD24" i="5"/>
  <c r="DD8" i="5"/>
  <c r="DD32" i="5"/>
  <c r="DD22" i="5"/>
  <c r="DD15" i="5"/>
  <c r="DD13" i="5"/>
  <c r="DD11" i="5"/>
  <c r="DD9" i="5"/>
  <c r="DD16" i="5"/>
  <c r="DE5" i="5"/>
  <c r="DD12" i="5"/>
  <c r="DD10" i="5"/>
  <c r="DD7" i="5"/>
  <c r="DD30" i="5"/>
  <c r="DD14" i="5"/>
  <c r="DC75" i="5"/>
  <c r="DC19" i="5"/>
  <c r="DC33" i="5"/>
  <c r="DC61" i="5"/>
  <c r="DD19" i="5" l="1"/>
  <c r="DD61" i="5"/>
  <c r="DD33" i="5"/>
  <c r="DD75" i="5"/>
  <c r="DE72" i="5"/>
  <c r="DE71" i="5"/>
  <c r="DE70" i="5"/>
  <c r="DE69" i="5"/>
  <c r="DE73" i="5"/>
  <c r="DE68" i="5"/>
  <c r="DE74" i="5"/>
  <c r="DE65" i="5"/>
  <c r="DE63" i="5"/>
  <c r="DE57" i="5"/>
  <c r="DE56" i="5"/>
  <c r="DE55" i="5"/>
  <c r="DE53" i="5"/>
  <c r="DE60" i="5"/>
  <c r="DE66" i="5"/>
  <c r="DE67" i="5"/>
  <c r="DE45" i="5"/>
  <c r="DE44" i="5"/>
  <c r="DE43" i="5"/>
  <c r="DE42" i="5"/>
  <c r="DE41" i="5"/>
  <c r="DE40" i="5"/>
  <c r="DE64" i="5"/>
  <c r="DE52" i="5"/>
  <c r="DE59" i="5"/>
  <c r="DE54" i="5"/>
  <c r="DE50" i="5"/>
  <c r="DE38" i="5"/>
  <c r="DE37" i="5"/>
  <c r="DE36" i="5"/>
  <c r="DE35" i="5"/>
  <c r="DE58" i="5"/>
  <c r="DE39" i="5"/>
  <c r="DE51" i="5"/>
  <c r="DE46" i="5"/>
  <c r="DE29" i="5"/>
  <c r="DE28" i="5"/>
  <c r="DE27" i="5"/>
  <c r="DE26" i="5"/>
  <c r="DE25" i="5"/>
  <c r="DE24" i="5"/>
  <c r="DE23" i="5"/>
  <c r="DE22" i="5"/>
  <c r="DE21" i="5"/>
  <c r="DE32" i="5"/>
  <c r="DE31" i="5"/>
  <c r="DE18" i="5"/>
  <c r="DE30" i="5"/>
  <c r="DE16" i="5"/>
  <c r="DE15" i="5"/>
  <c r="DE14" i="5"/>
  <c r="DE13" i="5"/>
  <c r="DE12" i="5"/>
  <c r="DE11" i="5"/>
  <c r="DE10" i="5"/>
  <c r="DE9" i="5"/>
  <c r="DE8" i="5"/>
  <c r="DE49" i="5"/>
  <c r="DE17" i="5"/>
  <c r="DE7" i="5"/>
  <c r="DE19" i="5" s="1"/>
  <c r="DF5" i="5"/>
  <c r="DE47" i="5" l="1"/>
  <c r="DE33" i="5"/>
  <c r="DE75" i="5"/>
  <c r="DE61" i="5"/>
  <c r="DF74" i="5"/>
  <c r="DF73" i="5"/>
  <c r="DF68" i="5"/>
  <c r="DF67" i="5"/>
  <c r="DF72" i="5"/>
  <c r="DF66" i="5"/>
  <c r="DF70" i="5"/>
  <c r="DF65" i="5"/>
  <c r="DF63" i="5"/>
  <c r="DF57" i="5"/>
  <c r="DF56" i="5"/>
  <c r="DF55" i="5"/>
  <c r="DF71" i="5"/>
  <c r="DF60" i="5"/>
  <c r="DF69" i="5"/>
  <c r="DF54" i="5"/>
  <c r="DF53" i="5"/>
  <c r="DF44" i="5"/>
  <c r="DF43" i="5"/>
  <c r="DF42" i="5"/>
  <c r="DF41" i="5"/>
  <c r="DF40" i="5"/>
  <c r="DF39" i="5"/>
  <c r="DF64" i="5"/>
  <c r="DF46" i="5"/>
  <c r="DF45" i="5"/>
  <c r="DF58" i="5"/>
  <c r="DF49" i="5"/>
  <c r="DF61" i="5" s="1"/>
  <c r="DF51" i="5"/>
  <c r="DF59" i="5"/>
  <c r="DF52" i="5"/>
  <c r="DF50" i="5"/>
  <c r="DF38" i="5"/>
  <c r="DF37" i="5"/>
  <c r="DF36" i="5"/>
  <c r="DF32" i="5"/>
  <c r="DF29" i="5"/>
  <c r="DF28" i="5"/>
  <c r="DF27" i="5"/>
  <c r="DF26" i="5"/>
  <c r="DF35" i="5"/>
  <c r="DF18" i="5"/>
  <c r="DG5" i="5"/>
  <c r="DF30" i="5"/>
  <c r="DF21" i="5"/>
  <c r="DF16" i="5"/>
  <c r="DF15" i="5"/>
  <c r="DF14" i="5"/>
  <c r="DF13" i="5"/>
  <c r="DF12" i="5"/>
  <c r="DF11" i="5"/>
  <c r="DF10" i="5"/>
  <c r="DF9" i="5"/>
  <c r="DF24" i="5"/>
  <c r="DF23" i="5"/>
  <c r="DF17" i="5"/>
  <c r="DF7" i="5"/>
  <c r="DF31" i="5"/>
  <c r="DF8" i="5"/>
  <c r="DF22" i="5"/>
  <c r="DF25" i="5"/>
  <c r="DG74" i="5" l="1"/>
  <c r="DG73" i="5"/>
  <c r="DG68" i="5"/>
  <c r="DG71" i="5"/>
  <c r="DG72" i="5"/>
  <c r="DG66" i="5"/>
  <c r="DG65" i="5"/>
  <c r="DG70" i="5"/>
  <c r="DG64" i="5"/>
  <c r="DG60" i="5"/>
  <c r="DG63" i="5"/>
  <c r="DG57" i="5"/>
  <c r="DG56" i="5"/>
  <c r="DG55" i="5"/>
  <c r="DG54" i="5"/>
  <c r="DG53" i="5"/>
  <c r="DG58" i="5"/>
  <c r="DG46" i="5"/>
  <c r="DG45" i="5"/>
  <c r="DG69" i="5"/>
  <c r="DG67" i="5"/>
  <c r="DG51" i="5"/>
  <c r="DG49" i="5"/>
  <c r="DG44" i="5"/>
  <c r="DG39" i="5"/>
  <c r="DG59" i="5"/>
  <c r="DG52" i="5"/>
  <c r="DG50" i="5"/>
  <c r="DG40" i="5"/>
  <c r="DG32" i="5"/>
  <c r="DG38" i="5"/>
  <c r="DG36" i="5"/>
  <c r="DG35" i="5"/>
  <c r="DG30" i="5"/>
  <c r="DG42" i="5"/>
  <c r="DG21" i="5"/>
  <c r="DG16" i="5"/>
  <c r="DG15" i="5"/>
  <c r="DG14" i="5"/>
  <c r="DG13" i="5"/>
  <c r="DG12" i="5"/>
  <c r="DG11" i="5"/>
  <c r="DG10" i="5"/>
  <c r="DG9" i="5"/>
  <c r="DG8" i="5"/>
  <c r="DG7" i="5"/>
  <c r="DG41" i="5"/>
  <c r="DG28" i="5"/>
  <c r="DG26" i="5"/>
  <c r="DG24" i="5"/>
  <c r="DG37" i="5"/>
  <c r="DG18" i="5"/>
  <c r="DH5" i="5"/>
  <c r="DG29" i="5"/>
  <c r="DG23" i="5"/>
  <c r="DG17" i="5"/>
  <c r="DG25" i="5"/>
  <c r="DG43" i="5"/>
  <c r="DG31" i="5"/>
  <c r="DG22" i="5"/>
  <c r="DG27" i="5"/>
  <c r="DF47" i="5"/>
  <c r="DF75" i="5"/>
  <c r="DF19" i="5"/>
  <c r="DF33" i="5"/>
  <c r="DG61" i="5" l="1"/>
  <c r="DG75" i="5"/>
  <c r="DH74" i="5"/>
  <c r="DH73" i="5"/>
  <c r="DH68" i="5"/>
  <c r="DH67" i="5"/>
  <c r="DH66" i="5"/>
  <c r="DH71" i="5"/>
  <c r="DH72" i="5"/>
  <c r="DH69" i="5"/>
  <c r="DH70" i="5"/>
  <c r="DH65" i="5"/>
  <c r="DH64" i="5"/>
  <c r="DH60" i="5"/>
  <c r="DH58" i="5"/>
  <c r="DH63" i="5"/>
  <c r="DH75" i="5" s="1"/>
  <c r="DH57" i="5"/>
  <c r="DH56" i="5"/>
  <c r="DH54" i="5"/>
  <c r="DH59" i="5"/>
  <c r="DH52" i="5"/>
  <c r="DH51" i="5"/>
  <c r="DH50" i="5"/>
  <c r="DH55" i="5"/>
  <c r="DH49" i="5"/>
  <c r="DH46" i="5"/>
  <c r="DH53" i="5"/>
  <c r="DH45" i="5"/>
  <c r="DH44" i="5"/>
  <c r="DH41" i="5"/>
  <c r="DH39" i="5"/>
  <c r="DH38" i="5"/>
  <c r="DH36" i="5"/>
  <c r="DH35" i="5"/>
  <c r="DH30" i="5"/>
  <c r="DH43" i="5"/>
  <c r="DH40" i="5"/>
  <c r="DH32" i="5"/>
  <c r="DH28" i="5"/>
  <c r="DH26" i="5"/>
  <c r="DH24" i="5"/>
  <c r="DH37" i="5"/>
  <c r="DH31" i="5"/>
  <c r="DH22" i="5"/>
  <c r="DH42" i="5"/>
  <c r="DH21" i="5"/>
  <c r="DH16" i="5"/>
  <c r="DH15" i="5"/>
  <c r="DH14" i="5"/>
  <c r="DH13" i="5"/>
  <c r="DH12" i="5"/>
  <c r="DH11" i="5"/>
  <c r="DH10" i="5"/>
  <c r="DH9" i="5"/>
  <c r="DH8" i="5"/>
  <c r="DH7" i="5"/>
  <c r="DH19" i="5" s="1"/>
  <c r="DH25" i="5"/>
  <c r="DH18" i="5"/>
  <c r="DI5" i="5"/>
  <c r="DH27" i="5"/>
  <c r="DH29" i="5"/>
  <c r="DH23" i="5"/>
  <c r="DH17" i="5"/>
  <c r="DG33" i="5"/>
  <c r="DG19" i="5"/>
  <c r="DG47" i="5"/>
  <c r="DH47" i="5" l="1"/>
  <c r="DH33" i="5"/>
  <c r="DI71" i="5"/>
  <c r="DI72" i="5"/>
  <c r="DI69" i="5"/>
  <c r="DI66" i="5"/>
  <c r="DI65" i="5"/>
  <c r="DI64" i="5"/>
  <c r="DI63" i="5"/>
  <c r="DI74" i="5"/>
  <c r="DI73" i="5"/>
  <c r="DI60" i="5"/>
  <c r="DI59" i="5"/>
  <c r="DI58" i="5"/>
  <c r="DI57" i="5"/>
  <c r="DI70" i="5"/>
  <c r="DI67" i="5"/>
  <c r="DI68" i="5"/>
  <c r="DI54" i="5"/>
  <c r="DI52" i="5"/>
  <c r="DI51" i="5"/>
  <c r="DI50" i="5"/>
  <c r="DI49" i="5"/>
  <c r="DI61" i="5" s="1"/>
  <c r="DI46" i="5"/>
  <c r="DI55" i="5"/>
  <c r="DI56" i="5"/>
  <c r="DI53" i="5"/>
  <c r="DI41" i="5"/>
  <c r="DI42" i="5"/>
  <c r="DI40" i="5"/>
  <c r="DI45" i="5"/>
  <c r="DI44" i="5"/>
  <c r="DI38" i="5"/>
  <c r="DI36" i="5"/>
  <c r="DI35" i="5"/>
  <c r="DI30" i="5"/>
  <c r="DI43" i="5"/>
  <c r="DI39" i="5"/>
  <c r="DI37" i="5"/>
  <c r="DI31" i="5"/>
  <c r="DI22" i="5"/>
  <c r="DI17" i="5"/>
  <c r="DI28" i="5"/>
  <c r="DI26" i="5"/>
  <c r="DI24" i="5"/>
  <c r="DI25" i="5"/>
  <c r="DI18" i="5"/>
  <c r="DI7" i="5"/>
  <c r="DJ5" i="5"/>
  <c r="DI16" i="5"/>
  <c r="DI14" i="5"/>
  <c r="DI12" i="5"/>
  <c r="DI10" i="5"/>
  <c r="DI27" i="5"/>
  <c r="DI32" i="5"/>
  <c r="DI8" i="5"/>
  <c r="DI15" i="5"/>
  <c r="DI11" i="5"/>
  <c r="DI29" i="5"/>
  <c r="DI21" i="5"/>
  <c r="DI9" i="5"/>
  <c r="DI23" i="5"/>
  <c r="DI13" i="5"/>
  <c r="DH61" i="5"/>
  <c r="DI19" i="5" l="1"/>
  <c r="DI47" i="5"/>
  <c r="DI33" i="5"/>
  <c r="DJ72" i="5"/>
  <c r="DJ69" i="5"/>
  <c r="DJ74" i="5"/>
  <c r="DJ66" i="5"/>
  <c r="DJ60" i="5"/>
  <c r="DJ70" i="5"/>
  <c r="DJ65" i="5"/>
  <c r="DJ67" i="5"/>
  <c r="DJ64" i="5"/>
  <c r="DJ63" i="5"/>
  <c r="DJ71" i="5"/>
  <c r="DJ68" i="5"/>
  <c r="DJ58" i="5"/>
  <c r="DJ73" i="5"/>
  <c r="DJ59" i="5"/>
  <c r="DJ52" i="5"/>
  <c r="DJ51" i="5"/>
  <c r="DJ50" i="5"/>
  <c r="DJ49" i="5"/>
  <c r="DJ56" i="5"/>
  <c r="DJ54" i="5"/>
  <c r="DJ55" i="5"/>
  <c r="DJ46" i="5"/>
  <c r="DJ57" i="5"/>
  <c r="DJ53" i="5"/>
  <c r="DJ41" i="5"/>
  <c r="DJ32" i="5"/>
  <c r="DJ31" i="5"/>
  <c r="DJ30" i="5"/>
  <c r="DJ42" i="5"/>
  <c r="DJ40" i="5"/>
  <c r="DJ43" i="5"/>
  <c r="DJ18" i="5"/>
  <c r="DJ17" i="5"/>
  <c r="DJ39" i="5"/>
  <c r="DJ45" i="5"/>
  <c r="DJ38" i="5"/>
  <c r="DJ36" i="5"/>
  <c r="DJ35" i="5"/>
  <c r="DJ22" i="5"/>
  <c r="DJ29" i="5"/>
  <c r="DJ27" i="5"/>
  <c r="DJ25" i="5"/>
  <c r="DJ44" i="5"/>
  <c r="DJ37" i="5"/>
  <c r="DK5" i="5"/>
  <c r="DJ16" i="5"/>
  <c r="DJ14" i="5"/>
  <c r="DJ12" i="5"/>
  <c r="DJ10" i="5"/>
  <c r="DJ26" i="5"/>
  <c r="DJ24" i="5"/>
  <c r="DJ7" i="5"/>
  <c r="DJ28" i="5"/>
  <c r="DJ15" i="5"/>
  <c r="DJ13" i="5"/>
  <c r="DJ21" i="5"/>
  <c r="DJ9" i="5"/>
  <c r="DJ11" i="5"/>
  <c r="DJ23" i="5"/>
  <c r="DJ8" i="5"/>
  <c r="DI75" i="5"/>
  <c r="DJ33" i="5" l="1"/>
  <c r="DJ19" i="5"/>
  <c r="DJ61" i="5"/>
  <c r="DJ75" i="5"/>
  <c r="DJ47" i="5"/>
  <c r="DK73" i="5"/>
  <c r="DK72" i="5"/>
  <c r="DK71" i="5"/>
  <c r="DK74" i="5"/>
  <c r="DK70" i="5"/>
  <c r="DK67" i="5"/>
  <c r="DK65" i="5"/>
  <c r="DK64" i="5"/>
  <c r="DK63" i="5"/>
  <c r="DK59" i="5"/>
  <c r="DK69" i="5"/>
  <c r="DK66" i="5"/>
  <c r="DK60" i="5"/>
  <c r="DK68" i="5"/>
  <c r="DK58" i="5"/>
  <c r="DK56" i="5"/>
  <c r="DK57" i="5"/>
  <c r="DK52" i="5"/>
  <c r="DK51" i="5"/>
  <c r="DK50" i="5"/>
  <c r="DK55" i="5"/>
  <c r="DK49" i="5"/>
  <c r="DK42" i="5"/>
  <c r="DK40" i="5"/>
  <c r="DK43" i="5"/>
  <c r="DK38" i="5"/>
  <c r="DK37" i="5"/>
  <c r="DK36" i="5"/>
  <c r="DK35" i="5"/>
  <c r="DK54" i="5"/>
  <c r="DK53" i="5"/>
  <c r="DK41" i="5"/>
  <c r="DK39" i="5"/>
  <c r="DK44" i="5"/>
  <c r="DK31" i="5"/>
  <c r="DK29" i="5"/>
  <c r="DK28" i="5"/>
  <c r="DK27" i="5"/>
  <c r="DK26" i="5"/>
  <c r="DK25" i="5"/>
  <c r="DK30" i="5"/>
  <c r="DK17" i="5"/>
  <c r="DK32" i="5"/>
  <c r="DK23" i="5"/>
  <c r="DK22" i="5"/>
  <c r="DK16" i="5"/>
  <c r="DK14" i="5"/>
  <c r="DK12" i="5"/>
  <c r="DK10" i="5"/>
  <c r="DK21" i="5"/>
  <c r="DK33" i="5" s="1"/>
  <c r="DK46" i="5"/>
  <c r="DK45" i="5"/>
  <c r="DK18" i="5"/>
  <c r="DL5" i="5"/>
  <c r="DK9" i="5"/>
  <c r="DK13" i="5"/>
  <c r="DK24" i="5"/>
  <c r="DK7" i="5"/>
  <c r="DK8" i="5"/>
  <c r="DK11" i="5"/>
  <c r="DK15" i="5"/>
  <c r="DK61" i="5" l="1"/>
  <c r="DK19" i="5"/>
  <c r="DK75" i="5"/>
  <c r="DL73" i="5"/>
  <c r="DL72" i="5"/>
  <c r="DL71" i="5"/>
  <c r="DL74" i="5"/>
  <c r="DL70" i="5"/>
  <c r="DL67" i="5"/>
  <c r="DL64" i="5"/>
  <c r="DL63" i="5"/>
  <c r="DL59" i="5"/>
  <c r="DL69" i="5"/>
  <c r="DL66" i="5"/>
  <c r="DL60" i="5"/>
  <c r="DL56" i="5"/>
  <c r="DL68" i="5"/>
  <c r="DL65" i="5"/>
  <c r="DL57" i="5"/>
  <c r="DL58" i="5"/>
  <c r="DL53" i="5"/>
  <c r="DL51" i="5"/>
  <c r="DL50" i="5"/>
  <c r="DL45" i="5"/>
  <c r="DL44" i="5"/>
  <c r="DL43" i="5"/>
  <c r="DL42" i="5"/>
  <c r="DL41" i="5"/>
  <c r="DL49" i="5"/>
  <c r="DL38" i="5"/>
  <c r="DL37" i="5"/>
  <c r="DL36" i="5"/>
  <c r="DL35" i="5"/>
  <c r="DL52" i="5"/>
  <c r="DL54" i="5"/>
  <c r="DL55" i="5"/>
  <c r="DL40" i="5"/>
  <c r="DL31" i="5"/>
  <c r="DL29" i="5"/>
  <c r="DL28" i="5"/>
  <c r="DL27" i="5"/>
  <c r="DL26" i="5"/>
  <c r="DL25" i="5"/>
  <c r="DL39" i="5"/>
  <c r="DL30" i="5"/>
  <c r="DL17" i="5"/>
  <c r="DL32" i="5"/>
  <c r="DL23" i="5"/>
  <c r="DL46" i="5"/>
  <c r="DL21" i="5"/>
  <c r="DL16" i="5"/>
  <c r="DL14" i="5"/>
  <c r="DL12" i="5"/>
  <c r="DL10" i="5"/>
  <c r="DL9" i="5"/>
  <c r="DL24" i="5"/>
  <c r="DL18" i="5"/>
  <c r="DL7" i="5"/>
  <c r="DL8" i="5"/>
  <c r="DL11" i="5"/>
  <c r="DM5" i="5"/>
  <c r="DL13" i="5"/>
  <c r="DL15" i="5"/>
  <c r="DL22" i="5"/>
  <c r="DK47" i="5"/>
  <c r="DL75" i="5" l="1"/>
  <c r="DL33" i="5"/>
  <c r="DM73" i="5"/>
  <c r="DM72" i="5"/>
  <c r="DM71" i="5"/>
  <c r="DM70" i="5"/>
  <c r="DM69" i="5"/>
  <c r="DM74" i="5"/>
  <c r="DM67" i="5"/>
  <c r="DM68" i="5"/>
  <c r="DM63" i="5"/>
  <c r="DM66" i="5"/>
  <c r="DM60" i="5"/>
  <c r="DM64" i="5"/>
  <c r="DM56" i="5"/>
  <c r="DM59" i="5"/>
  <c r="DM65" i="5"/>
  <c r="DM57" i="5"/>
  <c r="DM58" i="5"/>
  <c r="DM53" i="5"/>
  <c r="DM55" i="5"/>
  <c r="DM51" i="5"/>
  <c r="DM50" i="5"/>
  <c r="DM45" i="5"/>
  <c r="DM44" i="5"/>
  <c r="DM43" i="5"/>
  <c r="DM42" i="5"/>
  <c r="DM41" i="5"/>
  <c r="DM40" i="5"/>
  <c r="DM49" i="5"/>
  <c r="DM38" i="5"/>
  <c r="DM37" i="5"/>
  <c r="DM36" i="5"/>
  <c r="DM35" i="5"/>
  <c r="DM39" i="5"/>
  <c r="DM52" i="5"/>
  <c r="DM54" i="5"/>
  <c r="DM31" i="5"/>
  <c r="DM29" i="5"/>
  <c r="DM28" i="5"/>
  <c r="DM27" i="5"/>
  <c r="DM26" i="5"/>
  <c r="DM25" i="5"/>
  <c r="DM24" i="5"/>
  <c r="DM23" i="5"/>
  <c r="DM22" i="5"/>
  <c r="DM21" i="5"/>
  <c r="DM32" i="5"/>
  <c r="DM46" i="5"/>
  <c r="DM18" i="5"/>
  <c r="DM16" i="5"/>
  <c r="DM15" i="5"/>
  <c r="DM14" i="5"/>
  <c r="DM13" i="5"/>
  <c r="DM12" i="5"/>
  <c r="DM11" i="5"/>
  <c r="DM10" i="5"/>
  <c r="DM9" i="5"/>
  <c r="DM30" i="5"/>
  <c r="DM17" i="5"/>
  <c r="DM8" i="5"/>
  <c r="DM7" i="5"/>
  <c r="DN5" i="5"/>
  <c r="DL61" i="5"/>
  <c r="DL19" i="5"/>
  <c r="DL47" i="5"/>
  <c r="DM75" i="5" l="1"/>
  <c r="DM33" i="5"/>
  <c r="DM19" i="5"/>
  <c r="DM47" i="5"/>
  <c r="DN74" i="5"/>
  <c r="DN70" i="5"/>
  <c r="DN68" i="5"/>
  <c r="DN67" i="5"/>
  <c r="DN72" i="5"/>
  <c r="DN71" i="5"/>
  <c r="DN73" i="5"/>
  <c r="DN69" i="5"/>
  <c r="DN66" i="5"/>
  <c r="DN64" i="5"/>
  <c r="DN56" i="5"/>
  <c r="DN55" i="5"/>
  <c r="DN57" i="5"/>
  <c r="DN60" i="5"/>
  <c r="DN63" i="5"/>
  <c r="DN58" i="5"/>
  <c r="DN53" i="5"/>
  <c r="DN59" i="5"/>
  <c r="DN65" i="5"/>
  <c r="DN45" i="5"/>
  <c r="DN44" i="5"/>
  <c r="DN43" i="5"/>
  <c r="DN42" i="5"/>
  <c r="DN41" i="5"/>
  <c r="DN40" i="5"/>
  <c r="DN39" i="5"/>
  <c r="DN54" i="5"/>
  <c r="DN52" i="5"/>
  <c r="DN51" i="5"/>
  <c r="DN50" i="5"/>
  <c r="DN49" i="5"/>
  <c r="DN38" i="5"/>
  <c r="DN37" i="5"/>
  <c r="DN36" i="5"/>
  <c r="DN46" i="5"/>
  <c r="DN32" i="5"/>
  <c r="DN31" i="5"/>
  <c r="DN29" i="5"/>
  <c r="DN28" i="5"/>
  <c r="DN27" i="5"/>
  <c r="DN26" i="5"/>
  <c r="DN25" i="5"/>
  <c r="DN23" i="5"/>
  <c r="DO5" i="5"/>
  <c r="DN18" i="5"/>
  <c r="DN16" i="5"/>
  <c r="DN15" i="5"/>
  <c r="DN14" i="5"/>
  <c r="DN13" i="5"/>
  <c r="DN12" i="5"/>
  <c r="DN11" i="5"/>
  <c r="DN10" i="5"/>
  <c r="DN9" i="5"/>
  <c r="DN21" i="5"/>
  <c r="DN35" i="5"/>
  <c r="DN8" i="5"/>
  <c r="DN30" i="5"/>
  <c r="DN24" i="5"/>
  <c r="DN22" i="5"/>
  <c r="DN17" i="5"/>
  <c r="DN7" i="5"/>
  <c r="DM61" i="5"/>
  <c r="DO73" i="5" l="1"/>
  <c r="DO74" i="5"/>
  <c r="DO68" i="5"/>
  <c r="DO69" i="5"/>
  <c r="DO66" i="5"/>
  <c r="DO65" i="5"/>
  <c r="DO72" i="5"/>
  <c r="DO67" i="5"/>
  <c r="DO70" i="5"/>
  <c r="DO71" i="5"/>
  <c r="DO60" i="5"/>
  <c r="DO64" i="5"/>
  <c r="DO56" i="5"/>
  <c r="DO55" i="5"/>
  <c r="DO54" i="5"/>
  <c r="DO53" i="5"/>
  <c r="DO57" i="5"/>
  <c r="DO59" i="5"/>
  <c r="DO46" i="5"/>
  <c r="DO45" i="5"/>
  <c r="DO63" i="5"/>
  <c r="DO58" i="5"/>
  <c r="DO52" i="5"/>
  <c r="DO44" i="5"/>
  <c r="DO43" i="5"/>
  <c r="DO39" i="5"/>
  <c r="DO51" i="5"/>
  <c r="DO50" i="5"/>
  <c r="DO49" i="5"/>
  <c r="DO42" i="5"/>
  <c r="DO32" i="5"/>
  <c r="DO41" i="5"/>
  <c r="DO37" i="5"/>
  <c r="DO31" i="5"/>
  <c r="DO18" i="5"/>
  <c r="DO16" i="5"/>
  <c r="DO15" i="5"/>
  <c r="DO14" i="5"/>
  <c r="DO13" i="5"/>
  <c r="DO12" i="5"/>
  <c r="DO11" i="5"/>
  <c r="DO10" i="5"/>
  <c r="DO9" i="5"/>
  <c r="DO8" i="5"/>
  <c r="DO7" i="5"/>
  <c r="DO40" i="5"/>
  <c r="DO38" i="5"/>
  <c r="DO29" i="5"/>
  <c r="DO27" i="5"/>
  <c r="DO25" i="5"/>
  <c r="DO21" i="5"/>
  <c r="DO24" i="5"/>
  <c r="DO23" i="5"/>
  <c r="DP5" i="5"/>
  <c r="DO35" i="5"/>
  <c r="DO26" i="5"/>
  <c r="DO22" i="5"/>
  <c r="DO30" i="5"/>
  <c r="DO36" i="5"/>
  <c r="DO28" i="5"/>
  <c r="DO17" i="5"/>
  <c r="DN61" i="5"/>
  <c r="DN75" i="5"/>
  <c r="DN47" i="5"/>
  <c r="DN33" i="5"/>
  <c r="DN19" i="5"/>
  <c r="DO61" i="5" l="1"/>
  <c r="DO33" i="5"/>
  <c r="DO47" i="5"/>
  <c r="DP74" i="5"/>
  <c r="DP68" i="5"/>
  <c r="DP67" i="5"/>
  <c r="DP66" i="5"/>
  <c r="DP73" i="5"/>
  <c r="DP69" i="5"/>
  <c r="DP65" i="5"/>
  <c r="DP64" i="5"/>
  <c r="DP71" i="5"/>
  <c r="DP70" i="5"/>
  <c r="DP72" i="5"/>
  <c r="DP60" i="5"/>
  <c r="DP57" i="5"/>
  <c r="DP58" i="5"/>
  <c r="DP56" i="5"/>
  <c r="DP55" i="5"/>
  <c r="DP54" i="5"/>
  <c r="DP52" i="5"/>
  <c r="DP51" i="5"/>
  <c r="DP50" i="5"/>
  <c r="DP59" i="5"/>
  <c r="DP53" i="5"/>
  <c r="DP63" i="5"/>
  <c r="DP49" i="5"/>
  <c r="DP46" i="5"/>
  <c r="DP45" i="5"/>
  <c r="DP43" i="5"/>
  <c r="DP39" i="5"/>
  <c r="DP32" i="5"/>
  <c r="DP44" i="5"/>
  <c r="DP41" i="5"/>
  <c r="DP37" i="5"/>
  <c r="DP30" i="5"/>
  <c r="DP40" i="5"/>
  <c r="DP38" i="5"/>
  <c r="DP29" i="5"/>
  <c r="DP27" i="5"/>
  <c r="DP25" i="5"/>
  <c r="DP21" i="5"/>
  <c r="DP24" i="5"/>
  <c r="DP31" i="5"/>
  <c r="DP18" i="5"/>
  <c r="DP16" i="5"/>
  <c r="DP15" i="5"/>
  <c r="DP14" i="5"/>
  <c r="DP13" i="5"/>
  <c r="DP12" i="5"/>
  <c r="DP11" i="5"/>
  <c r="DP10" i="5"/>
  <c r="DP9" i="5"/>
  <c r="DP8" i="5"/>
  <c r="DP7" i="5"/>
  <c r="DP26" i="5"/>
  <c r="DP22" i="5"/>
  <c r="DP36" i="5"/>
  <c r="DP28" i="5"/>
  <c r="DP42" i="5"/>
  <c r="DP35" i="5"/>
  <c r="DQ5" i="5"/>
  <c r="DP17" i="5"/>
  <c r="DP23" i="5"/>
  <c r="DO19" i="5"/>
  <c r="DO75" i="5"/>
  <c r="DP47" i="5" l="1"/>
  <c r="DP61" i="5"/>
  <c r="DP19" i="5"/>
  <c r="DP33" i="5"/>
  <c r="DP75" i="5"/>
  <c r="DQ74" i="5"/>
  <c r="DQ69" i="5"/>
  <c r="DQ71" i="5"/>
  <c r="DQ65" i="5"/>
  <c r="DQ64" i="5"/>
  <c r="DQ63" i="5"/>
  <c r="DQ73" i="5"/>
  <c r="DQ70" i="5"/>
  <c r="DQ68" i="5"/>
  <c r="DQ66" i="5"/>
  <c r="DQ72" i="5"/>
  <c r="DQ67" i="5"/>
  <c r="DQ60" i="5"/>
  <c r="DQ59" i="5"/>
  <c r="DQ58" i="5"/>
  <c r="DQ57" i="5"/>
  <c r="DQ55" i="5"/>
  <c r="DQ54" i="5"/>
  <c r="DQ52" i="5"/>
  <c r="DQ51" i="5"/>
  <c r="DQ50" i="5"/>
  <c r="DQ56" i="5"/>
  <c r="DQ49" i="5"/>
  <c r="DQ46" i="5"/>
  <c r="DQ53" i="5"/>
  <c r="DQ43" i="5"/>
  <c r="DQ39" i="5"/>
  <c r="DQ44" i="5"/>
  <c r="DQ41" i="5"/>
  <c r="DQ37" i="5"/>
  <c r="DQ30" i="5"/>
  <c r="DQ32" i="5"/>
  <c r="DQ24" i="5"/>
  <c r="DQ22" i="5"/>
  <c r="DQ40" i="5"/>
  <c r="DQ38" i="5"/>
  <c r="DQ29" i="5"/>
  <c r="DQ27" i="5"/>
  <c r="DQ25" i="5"/>
  <c r="DQ21" i="5"/>
  <c r="DQ8" i="5"/>
  <c r="DQ36" i="5"/>
  <c r="DQ28" i="5"/>
  <c r="DQ15" i="5"/>
  <c r="DQ13" i="5"/>
  <c r="DQ11" i="5"/>
  <c r="DQ9" i="5"/>
  <c r="DQ7" i="5"/>
  <c r="DQ31" i="5"/>
  <c r="DQ42" i="5"/>
  <c r="DQ45" i="5"/>
  <c r="DQ35" i="5"/>
  <c r="DQ26" i="5"/>
  <c r="DQ18" i="5"/>
  <c r="DQ17" i="5"/>
  <c r="DQ14" i="5"/>
  <c r="DQ23" i="5"/>
  <c r="DQ10" i="5"/>
  <c r="DQ12" i="5"/>
  <c r="DQ16" i="5"/>
  <c r="DR5" i="5"/>
  <c r="DQ61" i="5" l="1"/>
  <c r="DQ75" i="5"/>
  <c r="DQ33" i="5"/>
  <c r="DQ19" i="5"/>
  <c r="DR69" i="5"/>
  <c r="DR73" i="5"/>
  <c r="DR71" i="5"/>
  <c r="DR74" i="5"/>
  <c r="DR72" i="5"/>
  <c r="DR70" i="5"/>
  <c r="DR68" i="5"/>
  <c r="DR66" i="5"/>
  <c r="DR67" i="5"/>
  <c r="DR60" i="5"/>
  <c r="DR58" i="5"/>
  <c r="DR65" i="5"/>
  <c r="DR64" i="5"/>
  <c r="DR57" i="5"/>
  <c r="DR54" i="5"/>
  <c r="DR52" i="5"/>
  <c r="DR51" i="5"/>
  <c r="DR50" i="5"/>
  <c r="DR49" i="5"/>
  <c r="DR61" i="5" s="1"/>
  <c r="DR55" i="5"/>
  <c r="DR46" i="5"/>
  <c r="DR63" i="5"/>
  <c r="DR56" i="5"/>
  <c r="DR53" i="5"/>
  <c r="DR32" i="5"/>
  <c r="DR31" i="5"/>
  <c r="DR30" i="5"/>
  <c r="DR44" i="5"/>
  <c r="DR59" i="5"/>
  <c r="DR43" i="5"/>
  <c r="DR18" i="5"/>
  <c r="DR17" i="5"/>
  <c r="DR35" i="5"/>
  <c r="DR41" i="5"/>
  <c r="DR37" i="5"/>
  <c r="DR22" i="5"/>
  <c r="DR28" i="5"/>
  <c r="DR26" i="5"/>
  <c r="DR24" i="5"/>
  <c r="DR21" i="5"/>
  <c r="DR36" i="5"/>
  <c r="DR15" i="5"/>
  <c r="DR13" i="5"/>
  <c r="DR11" i="5"/>
  <c r="DR9" i="5"/>
  <c r="DR7" i="5"/>
  <c r="DR39" i="5"/>
  <c r="DR27" i="5"/>
  <c r="DR23" i="5"/>
  <c r="DS5" i="5"/>
  <c r="DR40" i="5"/>
  <c r="DR42" i="5"/>
  <c r="DR38" i="5"/>
  <c r="DR45" i="5"/>
  <c r="DR25" i="5"/>
  <c r="DR8" i="5"/>
  <c r="DR10" i="5"/>
  <c r="DR14" i="5"/>
  <c r="DR29" i="5"/>
  <c r="DR12" i="5"/>
  <c r="DR16" i="5"/>
  <c r="DQ47" i="5"/>
  <c r="DS72" i="5" l="1"/>
  <c r="DS71" i="5"/>
  <c r="DS69" i="5"/>
  <c r="DS73" i="5"/>
  <c r="DS74" i="5"/>
  <c r="DS68" i="5"/>
  <c r="DS70" i="5"/>
  <c r="DS66" i="5"/>
  <c r="DS65" i="5"/>
  <c r="DS64" i="5"/>
  <c r="DS63" i="5"/>
  <c r="DS58" i="5"/>
  <c r="DS59" i="5"/>
  <c r="DS60" i="5"/>
  <c r="DS67" i="5"/>
  <c r="DS57" i="5"/>
  <c r="DS54" i="5"/>
  <c r="DS52" i="5"/>
  <c r="DS51" i="5"/>
  <c r="DS56" i="5"/>
  <c r="DS49" i="5"/>
  <c r="DS53" i="5"/>
  <c r="DS46" i="5"/>
  <c r="DS44" i="5"/>
  <c r="DS45" i="5"/>
  <c r="DS41" i="5"/>
  <c r="DS40" i="5"/>
  <c r="DS38" i="5"/>
  <c r="DS37" i="5"/>
  <c r="DS36" i="5"/>
  <c r="DS35" i="5"/>
  <c r="DS50" i="5"/>
  <c r="DS55" i="5"/>
  <c r="DS30" i="5"/>
  <c r="DS42" i="5"/>
  <c r="DS29" i="5"/>
  <c r="DS28" i="5"/>
  <c r="DS27" i="5"/>
  <c r="DS26" i="5"/>
  <c r="DS25" i="5"/>
  <c r="DS43" i="5"/>
  <c r="DS22" i="5"/>
  <c r="DS17" i="5"/>
  <c r="DS32" i="5"/>
  <c r="DS15" i="5"/>
  <c r="DS13" i="5"/>
  <c r="DS11" i="5"/>
  <c r="DS9" i="5"/>
  <c r="DS7" i="5"/>
  <c r="DS39" i="5"/>
  <c r="DS23" i="5"/>
  <c r="DT5" i="5"/>
  <c r="DS31" i="5"/>
  <c r="DS21" i="5"/>
  <c r="DS8" i="5"/>
  <c r="DS12" i="5"/>
  <c r="DS14" i="5"/>
  <c r="DS16" i="5"/>
  <c r="DS24" i="5"/>
  <c r="DS18" i="5"/>
  <c r="DS10" i="5"/>
  <c r="DR19" i="5"/>
  <c r="DR75" i="5"/>
  <c r="DR47" i="5"/>
  <c r="DR33" i="5"/>
  <c r="DS75" i="5" l="1"/>
  <c r="DS33" i="5"/>
  <c r="DS61" i="5"/>
  <c r="DS47" i="5"/>
  <c r="DT72" i="5"/>
  <c r="DT71" i="5"/>
  <c r="DT73" i="5"/>
  <c r="DT74" i="5"/>
  <c r="DT70" i="5"/>
  <c r="DT69" i="5"/>
  <c r="DT68" i="5"/>
  <c r="DT66" i="5"/>
  <c r="DT65" i="5"/>
  <c r="DT64" i="5"/>
  <c r="DT63" i="5"/>
  <c r="DT75" i="5" s="1"/>
  <c r="DT59" i="5"/>
  <c r="DT67" i="5"/>
  <c r="DT58" i="5"/>
  <c r="DT60" i="5"/>
  <c r="DT53" i="5"/>
  <c r="DT52" i="5"/>
  <c r="DT54" i="5"/>
  <c r="DT44" i="5"/>
  <c r="DT43" i="5"/>
  <c r="DT42" i="5"/>
  <c r="DT41" i="5"/>
  <c r="DT56" i="5"/>
  <c r="DT49" i="5"/>
  <c r="DT45" i="5"/>
  <c r="DT40" i="5"/>
  <c r="DT38" i="5"/>
  <c r="DT37" i="5"/>
  <c r="DT36" i="5"/>
  <c r="DT35" i="5"/>
  <c r="DT51" i="5"/>
  <c r="DT46" i="5"/>
  <c r="DT50" i="5"/>
  <c r="DT55" i="5"/>
  <c r="DT57" i="5"/>
  <c r="DT29" i="5"/>
  <c r="DT28" i="5"/>
  <c r="DT27" i="5"/>
  <c r="DT26" i="5"/>
  <c r="DT25" i="5"/>
  <c r="DT31" i="5"/>
  <c r="DT30" i="5"/>
  <c r="DT17" i="5"/>
  <c r="DT23" i="5"/>
  <c r="DT22" i="5"/>
  <c r="DT39" i="5"/>
  <c r="DU5" i="5"/>
  <c r="DT24" i="5"/>
  <c r="DT32" i="5"/>
  <c r="DT15" i="5"/>
  <c r="DT13" i="5"/>
  <c r="DT11" i="5"/>
  <c r="DT9" i="5"/>
  <c r="DT7" i="5"/>
  <c r="DT12" i="5"/>
  <c r="DT21" i="5"/>
  <c r="DT14" i="5"/>
  <c r="DT10" i="5"/>
  <c r="DT8" i="5"/>
  <c r="DT16" i="5"/>
  <c r="DT18" i="5"/>
  <c r="DS19" i="5"/>
  <c r="DT61" i="5" l="1"/>
  <c r="DU72" i="5"/>
  <c r="DU71" i="5"/>
  <c r="DU70" i="5"/>
  <c r="DU69" i="5"/>
  <c r="DU73" i="5"/>
  <c r="DU74" i="5"/>
  <c r="DU67" i="5"/>
  <c r="DU66" i="5"/>
  <c r="DU65" i="5"/>
  <c r="DU64" i="5"/>
  <c r="DU63" i="5"/>
  <c r="DU68" i="5"/>
  <c r="DU59" i="5"/>
  <c r="DU56" i="5"/>
  <c r="DU53" i="5"/>
  <c r="DU54" i="5"/>
  <c r="DU44" i="5"/>
  <c r="DU43" i="5"/>
  <c r="DU42" i="5"/>
  <c r="DU41" i="5"/>
  <c r="DU40" i="5"/>
  <c r="DU45" i="5"/>
  <c r="DU60" i="5"/>
  <c r="DU52" i="5"/>
  <c r="DU38" i="5"/>
  <c r="DU37" i="5"/>
  <c r="DU36" i="5"/>
  <c r="DU35" i="5"/>
  <c r="DU51" i="5"/>
  <c r="DU46" i="5"/>
  <c r="DU50" i="5"/>
  <c r="DU55" i="5"/>
  <c r="DU49" i="5"/>
  <c r="DU57" i="5"/>
  <c r="DU58" i="5"/>
  <c r="DU29" i="5"/>
  <c r="DU28" i="5"/>
  <c r="DU27" i="5"/>
  <c r="DU26" i="5"/>
  <c r="DU25" i="5"/>
  <c r="DU24" i="5"/>
  <c r="DU23" i="5"/>
  <c r="DU22" i="5"/>
  <c r="DU21" i="5"/>
  <c r="DU31" i="5"/>
  <c r="DU17" i="5"/>
  <c r="DU39" i="5"/>
  <c r="DU16" i="5"/>
  <c r="DU15" i="5"/>
  <c r="DU14" i="5"/>
  <c r="DU13" i="5"/>
  <c r="DU12" i="5"/>
  <c r="DU11" i="5"/>
  <c r="DU10" i="5"/>
  <c r="DU9" i="5"/>
  <c r="DU30" i="5"/>
  <c r="DU18" i="5"/>
  <c r="DU32" i="5"/>
  <c r="DV5" i="5"/>
  <c r="DU7" i="5"/>
  <c r="DU8" i="5"/>
  <c r="DT19" i="5"/>
  <c r="DT47" i="5"/>
  <c r="DT33" i="5"/>
  <c r="DV73" i="5" l="1"/>
  <c r="DV74" i="5"/>
  <c r="DV71" i="5"/>
  <c r="DV70" i="5"/>
  <c r="DV72" i="5"/>
  <c r="DV68" i="5"/>
  <c r="DV67" i="5"/>
  <c r="DV69" i="5"/>
  <c r="DV65" i="5"/>
  <c r="DV64" i="5"/>
  <c r="DV63" i="5"/>
  <c r="DV66" i="5"/>
  <c r="DV56" i="5"/>
  <c r="DV55" i="5"/>
  <c r="DV59" i="5"/>
  <c r="DV53" i="5"/>
  <c r="DV44" i="5"/>
  <c r="DV43" i="5"/>
  <c r="DV42" i="5"/>
  <c r="DV41" i="5"/>
  <c r="DV40" i="5"/>
  <c r="DV39" i="5"/>
  <c r="DV45" i="5"/>
  <c r="DV57" i="5"/>
  <c r="DV50" i="5"/>
  <c r="DV54" i="5"/>
  <c r="DV51" i="5"/>
  <c r="DV46" i="5"/>
  <c r="DV60" i="5"/>
  <c r="DV52" i="5"/>
  <c r="DV58" i="5"/>
  <c r="DV38" i="5"/>
  <c r="DV37" i="5"/>
  <c r="DV36" i="5"/>
  <c r="DV31" i="5"/>
  <c r="DV35" i="5"/>
  <c r="DV29" i="5"/>
  <c r="DV28" i="5"/>
  <c r="DV27" i="5"/>
  <c r="DV26" i="5"/>
  <c r="DV25" i="5"/>
  <c r="DW5" i="5"/>
  <c r="DV23" i="5"/>
  <c r="DV16" i="5"/>
  <c r="DV15" i="5"/>
  <c r="DV14" i="5"/>
  <c r="DV13" i="5"/>
  <c r="DV12" i="5"/>
  <c r="DV11" i="5"/>
  <c r="DV10" i="5"/>
  <c r="DV9" i="5"/>
  <c r="DV49" i="5"/>
  <c r="DV18" i="5"/>
  <c r="DV17" i="5"/>
  <c r="DV22" i="5"/>
  <c r="DV30" i="5"/>
  <c r="DV24" i="5"/>
  <c r="DV32" i="5"/>
  <c r="DV21" i="5"/>
  <c r="DV8" i="5"/>
  <c r="DV7" i="5"/>
  <c r="DU47" i="5"/>
  <c r="DU61" i="5"/>
  <c r="DU19" i="5"/>
  <c r="DU33" i="5"/>
  <c r="DU75" i="5"/>
  <c r="DV19" i="5" l="1"/>
  <c r="DV47" i="5"/>
  <c r="DV75" i="5"/>
  <c r="DV61" i="5"/>
  <c r="DW73" i="5"/>
  <c r="DW74" i="5"/>
  <c r="DW71" i="5"/>
  <c r="DW70" i="5"/>
  <c r="DW72" i="5"/>
  <c r="DW68" i="5"/>
  <c r="DW67" i="5"/>
  <c r="DW65" i="5"/>
  <c r="DW64" i="5"/>
  <c r="DW69" i="5"/>
  <c r="DW60" i="5"/>
  <c r="DW56" i="5"/>
  <c r="DW55" i="5"/>
  <c r="DW54" i="5"/>
  <c r="DW53" i="5"/>
  <c r="DW63" i="5"/>
  <c r="DW57" i="5"/>
  <c r="DW66" i="5"/>
  <c r="DW46" i="5"/>
  <c r="DW45" i="5"/>
  <c r="DW50" i="5"/>
  <c r="DW59" i="5"/>
  <c r="DW58" i="5"/>
  <c r="DW51" i="5"/>
  <c r="DW44" i="5"/>
  <c r="DW43" i="5"/>
  <c r="DW40" i="5"/>
  <c r="DW41" i="5"/>
  <c r="DW52" i="5"/>
  <c r="DW42" i="5"/>
  <c r="DW39" i="5"/>
  <c r="DW49" i="5"/>
  <c r="DW35" i="5"/>
  <c r="DW38" i="5"/>
  <c r="DW36" i="5"/>
  <c r="DW32" i="5"/>
  <c r="DW31" i="5"/>
  <c r="DW23" i="5"/>
  <c r="DW16" i="5"/>
  <c r="DW15" i="5"/>
  <c r="DW14" i="5"/>
  <c r="DW13" i="5"/>
  <c r="DW12" i="5"/>
  <c r="DW11" i="5"/>
  <c r="DW10" i="5"/>
  <c r="DW9" i="5"/>
  <c r="DW8" i="5"/>
  <c r="DW7" i="5"/>
  <c r="DW28" i="5"/>
  <c r="DW26" i="5"/>
  <c r="DW18" i="5"/>
  <c r="DW30" i="5"/>
  <c r="DW21" i="5"/>
  <c r="DX5" i="5"/>
  <c r="DW37" i="5"/>
  <c r="DW24" i="5"/>
  <c r="DW27" i="5"/>
  <c r="DW17" i="5"/>
  <c r="DW29" i="5"/>
  <c r="DW22" i="5"/>
  <c r="DW25" i="5"/>
  <c r="DV33" i="5"/>
  <c r="DW47" i="5" l="1"/>
  <c r="DW61" i="5"/>
  <c r="DX74" i="5"/>
  <c r="DX73" i="5"/>
  <c r="DX72" i="5"/>
  <c r="DX68" i="5"/>
  <c r="DX67" i="5"/>
  <c r="DX66" i="5"/>
  <c r="DX71" i="5"/>
  <c r="DX70" i="5"/>
  <c r="DX65" i="5"/>
  <c r="DX64" i="5"/>
  <c r="DX69" i="5"/>
  <c r="DX60" i="5"/>
  <c r="DX63" i="5"/>
  <c r="DX57" i="5"/>
  <c r="DX56" i="5"/>
  <c r="DX53" i="5"/>
  <c r="DX52" i="5"/>
  <c r="DX51" i="5"/>
  <c r="DX50" i="5"/>
  <c r="DX45" i="5"/>
  <c r="DX59" i="5"/>
  <c r="DX58" i="5"/>
  <c r="DX55" i="5"/>
  <c r="DX44" i="5"/>
  <c r="DX41" i="5"/>
  <c r="DX42" i="5"/>
  <c r="DX39" i="5"/>
  <c r="DX49" i="5"/>
  <c r="DX54" i="5"/>
  <c r="DX46" i="5"/>
  <c r="DX40" i="5"/>
  <c r="DX38" i="5"/>
  <c r="DX36" i="5"/>
  <c r="DX32" i="5"/>
  <c r="DX35" i="5"/>
  <c r="DX28" i="5"/>
  <c r="DX26" i="5"/>
  <c r="DX18" i="5"/>
  <c r="DX30" i="5"/>
  <c r="DX21" i="5"/>
  <c r="DX24" i="5"/>
  <c r="DX23" i="5"/>
  <c r="DX16" i="5"/>
  <c r="DX15" i="5"/>
  <c r="DX14" i="5"/>
  <c r="DX13" i="5"/>
  <c r="DX12" i="5"/>
  <c r="DX11" i="5"/>
  <c r="DX10" i="5"/>
  <c r="DX9" i="5"/>
  <c r="DX8" i="5"/>
  <c r="DX7" i="5"/>
  <c r="DX27" i="5"/>
  <c r="DX17" i="5"/>
  <c r="DX31" i="5"/>
  <c r="DX43" i="5"/>
  <c r="DX29" i="5"/>
  <c r="DX37" i="5"/>
  <c r="DX25" i="5"/>
  <c r="DX22" i="5"/>
  <c r="DY5" i="5"/>
  <c r="DW19" i="5"/>
  <c r="DW75" i="5"/>
  <c r="DW33" i="5"/>
  <c r="DY74" i="5" l="1"/>
  <c r="DY73" i="5"/>
  <c r="DY65" i="5"/>
  <c r="DY64" i="5"/>
  <c r="DY63" i="5"/>
  <c r="DY71" i="5"/>
  <c r="DY67" i="5"/>
  <c r="DY66" i="5"/>
  <c r="DY72" i="5"/>
  <c r="DY69" i="5"/>
  <c r="DY60" i="5"/>
  <c r="DY59" i="5"/>
  <c r="DY58" i="5"/>
  <c r="DY57" i="5"/>
  <c r="DY68" i="5"/>
  <c r="DY70" i="5"/>
  <c r="DY52" i="5"/>
  <c r="DY51" i="5"/>
  <c r="DY50" i="5"/>
  <c r="DY55" i="5"/>
  <c r="DY54" i="5"/>
  <c r="DY53" i="5"/>
  <c r="DY49" i="5"/>
  <c r="DY61" i="5" s="1"/>
  <c r="DY46" i="5"/>
  <c r="DY45" i="5"/>
  <c r="DY42" i="5"/>
  <c r="DY39" i="5"/>
  <c r="DY56" i="5"/>
  <c r="DY44" i="5"/>
  <c r="DY41" i="5"/>
  <c r="DY38" i="5"/>
  <c r="DY36" i="5"/>
  <c r="DY32" i="5"/>
  <c r="DY40" i="5"/>
  <c r="DY30" i="5"/>
  <c r="DY21" i="5"/>
  <c r="DY24" i="5"/>
  <c r="DY43" i="5"/>
  <c r="DY28" i="5"/>
  <c r="DY26" i="5"/>
  <c r="DY18" i="5"/>
  <c r="DY23" i="5"/>
  <c r="DY17" i="5"/>
  <c r="DY31" i="5"/>
  <c r="DY29" i="5"/>
  <c r="DY16" i="5"/>
  <c r="DY14" i="5"/>
  <c r="DY12" i="5"/>
  <c r="DY10" i="5"/>
  <c r="DY8" i="5"/>
  <c r="DY35" i="5"/>
  <c r="DY37" i="5"/>
  <c r="DY27" i="5"/>
  <c r="DY22" i="5"/>
  <c r="DY11" i="5"/>
  <c r="DZ5" i="5"/>
  <c r="DY7" i="5"/>
  <c r="DY13" i="5"/>
  <c r="DY15" i="5"/>
  <c r="DY25" i="5"/>
  <c r="DY9" i="5"/>
  <c r="DX19" i="5"/>
  <c r="DX75" i="5"/>
  <c r="DX33" i="5"/>
  <c r="DX61" i="5"/>
  <c r="DX47" i="5"/>
  <c r="DZ74" i="5" l="1"/>
  <c r="DZ69" i="5"/>
  <c r="DZ73" i="5"/>
  <c r="DZ71" i="5"/>
  <c r="DZ67" i="5"/>
  <c r="DZ66" i="5"/>
  <c r="DZ60" i="5"/>
  <c r="DZ68" i="5"/>
  <c r="DZ63" i="5"/>
  <c r="DZ57" i="5"/>
  <c r="DZ72" i="5"/>
  <c r="DZ65" i="5"/>
  <c r="DZ58" i="5"/>
  <c r="DZ70" i="5"/>
  <c r="DZ52" i="5"/>
  <c r="DZ51" i="5"/>
  <c r="DZ50" i="5"/>
  <c r="DZ49" i="5"/>
  <c r="DZ55" i="5"/>
  <c r="DZ54" i="5"/>
  <c r="DZ56" i="5"/>
  <c r="DZ64" i="5"/>
  <c r="DZ59" i="5"/>
  <c r="DZ46" i="5"/>
  <c r="DZ53" i="5"/>
  <c r="DZ45" i="5"/>
  <c r="DZ32" i="5"/>
  <c r="DZ31" i="5"/>
  <c r="DZ30" i="5"/>
  <c r="DZ43" i="5"/>
  <c r="DZ42" i="5"/>
  <c r="DZ39" i="5"/>
  <c r="DZ18" i="5"/>
  <c r="DZ17" i="5"/>
  <c r="DZ40" i="5"/>
  <c r="DZ44" i="5"/>
  <c r="DZ38" i="5"/>
  <c r="DZ36" i="5"/>
  <c r="DZ41" i="5"/>
  <c r="DZ24" i="5"/>
  <c r="DZ35" i="5"/>
  <c r="DZ29" i="5"/>
  <c r="DZ27" i="5"/>
  <c r="DZ25" i="5"/>
  <c r="DZ22" i="5"/>
  <c r="DZ21" i="5"/>
  <c r="DZ28" i="5"/>
  <c r="DZ16" i="5"/>
  <c r="DZ14" i="5"/>
  <c r="DZ12" i="5"/>
  <c r="DZ10" i="5"/>
  <c r="DZ8" i="5"/>
  <c r="DZ37" i="5"/>
  <c r="DZ23" i="5"/>
  <c r="DZ11" i="5"/>
  <c r="DZ9" i="5"/>
  <c r="DZ15" i="5"/>
  <c r="DZ13" i="5"/>
  <c r="DZ7" i="5"/>
  <c r="EA5" i="5"/>
  <c r="DZ26" i="5"/>
  <c r="DY47" i="5"/>
  <c r="DY33" i="5"/>
  <c r="DY75" i="5"/>
  <c r="DY19" i="5"/>
  <c r="EA74" i="5" l="1"/>
  <c r="EA72" i="5"/>
  <c r="EA71" i="5"/>
  <c r="EA69" i="5"/>
  <c r="EA73" i="5"/>
  <c r="EA66" i="5"/>
  <c r="EA67" i="5"/>
  <c r="EA68" i="5"/>
  <c r="EA65" i="5"/>
  <c r="EA58" i="5"/>
  <c r="EA60" i="5"/>
  <c r="EA63" i="5"/>
  <c r="EA57" i="5"/>
  <c r="EA55" i="5"/>
  <c r="EA54" i="5"/>
  <c r="EA56" i="5"/>
  <c r="EA59" i="5"/>
  <c r="EA64" i="5"/>
  <c r="EA70" i="5"/>
  <c r="EA52" i="5"/>
  <c r="EA51" i="5"/>
  <c r="EA50" i="5"/>
  <c r="EA46" i="5"/>
  <c r="EA49" i="5"/>
  <c r="EA61" i="5" s="1"/>
  <c r="EA43" i="5"/>
  <c r="EA38" i="5"/>
  <c r="EA37" i="5"/>
  <c r="EA36" i="5"/>
  <c r="EA35" i="5"/>
  <c r="EA53" i="5"/>
  <c r="EA45" i="5"/>
  <c r="EA40" i="5"/>
  <c r="EA42" i="5"/>
  <c r="EA30" i="5"/>
  <c r="EA39" i="5"/>
  <c r="EA29" i="5"/>
  <c r="EA28" i="5"/>
  <c r="EA27" i="5"/>
  <c r="EA26" i="5"/>
  <c r="EA25" i="5"/>
  <c r="EA32" i="5"/>
  <c r="EA22" i="5"/>
  <c r="EA31" i="5"/>
  <c r="EA41" i="5"/>
  <c r="EA24" i="5"/>
  <c r="EA16" i="5"/>
  <c r="EA14" i="5"/>
  <c r="EA12" i="5"/>
  <c r="EA10" i="5"/>
  <c r="EA8" i="5"/>
  <c r="EA18" i="5"/>
  <c r="EA7" i="5"/>
  <c r="EA44" i="5"/>
  <c r="EA17" i="5"/>
  <c r="EA23" i="5"/>
  <c r="EA13" i="5"/>
  <c r="EA15" i="5"/>
  <c r="EB5" i="5"/>
  <c r="EA9" i="5"/>
  <c r="EA21" i="5"/>
  <c r="EA11" i="5"/>
  <c r="DZ33" i="5"/>
  <c r="DZ19" i="5"/>
  <c r="DZ61" i="5"/>
  <c r="DZ47" i="5"/>
  <c r="DZ75" i="5"/>
  <c r="EA19" i="5" l="1"/>
  <c r="EA75" i="5"/>
  <c r="EA33" i="5"/>
  <c r="EA47" i="5"/>
  <c r="EB74" i="5"/>
  <c r="EB72" i="5"/>
  <c r="EB71" i="5"/>
  <c r="EB69" i="5"/>
  <c r="EB68" i="5"/>
  <c r="EB73" i="5"/>
  <c r="EB66" i="5"/>
  <c r="EB63" i="5"/>
  <c r="EB58" i="5"/>
  <c r="EB67" i="5"/>
  <c r="EB60" i="5"/>
  <c r="EB59" i="5"/>
  <c r="EB65" i="5"/>
  <c r="EB56" i="5"/>
  <c r="EB64" i="5"/>
  <c r="EB70" i="5"/>
  <c r="EB55" i="5"/>
  <c r="EB54" i="5"/>
  <c r="EB49" i="5"/>
  <c r="EB61" i="5" s="1"/>
  <c r="EB57" i="5"/>
  <c r="EB51" i="5"/>
  <c r="EB44" i="5"/>
  <c r="EB43" i="5"/>
  <c r="EB42" i="5"/>
  <c r="EB41" i="5"/>
  <c r="EB50" i="5"/>
  <c r="EB46" i="5"/>
  <c r="EB52" i="5"/>
  <c r="EB38" i="5"/>
  <c r="EB37" i="5"/>
  <c r="EB36" i="5"/>
  <c r="EB35" i="5"/>
  <c r="EB53" i="5"/>
  <c r="EB30" i="5"/>
  <c r="EB39" i="5"/>
  <c r="EB29" i="5"/>
  <c r="EB28" i="5"/>
  <c r="EB27" i="5"/>
  <c r="EB26" i="5"/>
  <c r="EB25" i="5"/>
  <c r="EB40" i="5"/>
  <c r="EB22" i="5"/>
  <c r="EB31" i="5"/>
  <c r="EB45" i="5"/>
  <c r="EB17" i="5"/>
  <c r="EB18" i="5"/>
  <c r="EB32" i="5"/>
  <c r="EB7" i="5"/>
  <c r="EC5" i="5"/>
  <c r="EB24" i="5"/>
  <c r="EB16" i="5"/>
  <c r="EB14" i="5"/>
  <c r="EB12" i="5"/>
  <c r="EB10" i="5"/>
  <c r="EB8" i="5"/>
  <c r="EB13" i="5"/>
  <c r="EB9" i="5"/>
  <c r="EB15" i="5"/>
  <c r="EB11" i="5"/>
  <c r="EB21" i="5"/>
  <c r="EB33" i="5" s="1"/>
  <c r="EB23" i="5"/>
  <c r="EC72" i="5" l="1"/>
  <c r="EC71" i="5"/>
  <c r="EC70" i="5"/>
  <c r="EC69" i="5"/>
  <c r="EC73" i="5"/>
  <c r="EC74" i="5"/>
  <c r="EC68" i="5"/>
  <c r="EC63" i="5"/>
  <c r="EC67" i="5"/>
  <c r="EC60" i="5"/>
  <c r="EC59" i="5"/>
  <c r="EC56" i="5"/>
  <c r="EC58" i="5"/>
  <c r="EC64" i="5"/>
  <c r="EC66" i="5"/>
  <c r="EC57" i="5"/>
  <c r="EC51" i="5"/>
  <c r="EC55" i="5"/>
  <c r="EC44" i="5"/>
  <c r="EC43" i="5"/>
  <c r="EC42" i="5"/>
  <c r="EC41" i="5"/>
  <c r="EC40" i="5"/>
  <c r="EC65" i="5"/>
  <c r="EC49" i="5"/>
  <c r="EC52" i="5"/>
  <c r="EC38" i="5"/>
  <c r="EC37" i="5"/>
  <c r="EC36" i="5"/>
  <c r="EC35" i="5"/>
  <c r="EC50" i="5"/>
  <c r="EC54" i="5"/>
  <c r="EC53" i="5"/>
  <c r="EC39" i="5"/>
  <c r="EC29" i="5"/>
  <c r="EC28" i="5"/>
  <c r="EC27" i="5"/>
  <c r="EC26" i="5"/>
  <c r="EC25" i="5"/>
  <c r="EC24" i="5"/>
  <c r="EC23" i="5"/>
  <c r="EC22" i="5"/>
  <c r="EC21" i="5"/>
  <c r="EC46" i="5"/>
  <c r="EC45" i="5"/>
  <c r="EC31" i="5"/>
  <c r="EC30" i="5"/>
  <c r="EC17" i="5"/>
  <c r="EC32" i="5"/>
  <c r="EC16" i="5"/>
  <c r="EC15" i="5"/>
  <c r="EC14" i="5"/>
  <c r="EC13" i="5"/>
  <c r="EC12" i="5"/>
  <c r="EC11" i="5"/>
  <c r="EC10" i="5"/>
  <c r="EC9" i="5"/>
  <c r="EC7" i="5"/>
  <c r="ED5" i="5"/>
  <c r="EC18" i="5"/>
  <c r="EC8" i="5"/>
  <c r="EB47" i="5"/>
  <c r="EB75" i="5"/>
  <c r="EB19" i="5"/>
  <c r="EC47" i="5" l="1"/>
  <c r="ED73" i="5"/>
  <c r="ED70" i="5"/>
  <c r="ED68" i="5"/>
  <c r="ED67" i="5"/>
  <c r="ED74" i="5"/>
  <c r="ED72" i="5"/>
  <c r="ED71" i="5"/>
  <c r="ED69" i="5"/>
  <c r="ED63" i="5"/>
  <c r="ED65" i="5"/>
  <c r="ED64" i="5"/>
  <c r="ED59" i="5"/>
  <c r="ED56" i="5"/>
  <c r="ED55" i="5"/>
  <c r="ED60" i="5"/>
  <c r="ED66" i="5"/>
  <c r="ED57" i="5"/>
  <c r="ED58" i="5"/>
  <c r="ED53" i="5"/>
  <c r="ED44" i="5"/>
  <c r="ED43" i="5"/>
  <c r="ED42" i="5"/>
  <c r="ED41" i="5"/>
  <c r="ED40" i="5"/>
  <c r="ED39" i="5"/>
  <c r="ED52" i="5"/>
  <c r="ED45" i="5"/>
  <c r="ED51" i="5"/>
  <c r="ED50" i="5"/>
  <c r="ED49" i="5"/>
  <c r="ED54" i="5"/>
  <c r="ED38" i="5"/>
  <c r="ED37" i="5"/>
  <c r="ED36" i="5"/>
  <c r="ED46" i="5"/>
  <c r="ED31" i="5"/>
  <c r="ED29" i="5"/>
  <c r="ED28" i="5"/>
  <c r="ED27" i="5"/>
  <c r="ED26" i="5"/>
  <c r="ED25" i="5"/>
  <c r="ED30" i="5"/>
  <c r="ED17" i="5"/>
  <c r="EE5" i="5"/>
  <c r="ED35" i="5"/>
  <c r="ED32" i="5"/>
  <c r="ED16" i="5"/>
  <c r="ED15" i="5"/>
  <c r="ED14" i="5"/>
  <c r="ED13" i="5"/>
  <c r="ED12" i="5"/>
  <c r="ED11" i="5"/>
  <c r="ED10" i="5"/>
  <c r="ED9" i="5"/>
  <c r="ED23" i="5"/>
  <c r="ED22" i="5"/>
  <c r="ED21" i="5"/>
  <c r="ED7" i="5"/>
  <c r="ED18" i="5"/>
  <c r="ED24" i="5"/>
  <c r="ED8" i="5"/>
  <c r="EC19" i="5"/>
  <c r="EC75" i="5"/>
  <c r="EC33" i="5"/>
  <c r="EC61" i="5"/>
  <c r="ED47" i="5" l="1"/>
  <c r="ED61" i="5"/>
  <c r="ED19" i="5"/>
  <c r="ED33" i="5"/>
  <c r="ED75" i="5"/>
  <c r="EE73" i="5"/>
  <c r="EE70" i="5"/>
  <c r="EE68" i="5"/>
  <c r="EE67" i="5"/>
  <c r="EE74" i="5"/>
  <c r="EE72" i="5"/>
  <c r="EE71" i="5"/>
  <c r="EE69" i="5"/>
  <c r="EE65" i="5"/>
  <c r="EE64" i="5"/>
  <c r="EE63" i="5"/>
  <c r="EE75" i="5" s="1"/>
  <c r="EE66" i="5"/>
  <c r="EE60" i="5"/>
  <c r="EE56" i="5"/>
  <c r="EE55" i="5"/>
  <c r="EE54" i="5"/>
  <c r="EE53" i="5"/>
  <c r="EE59" i="5"/>
  <c r="EE57" i="5"/>
  <c r="EE46" i="5"/>
  <c r="EE45" i="5"/>
  <c r="EE58" i="5"/>
  <c r="EE52" i="5"/>
  <c r="EE44" i="5"/>
  <c r="EE43" i="5"/>
  <c r="EE49" i="5"/>
  <c r="EE40" i="5"/>
  <c r="EE51" i="5"/>
  <c r="EE50" i="5"/>
  <c r="EE42" i="5"/>
  <c r="EE31" i="5"/>
  <c r="EE37" i="5"/>
  <c r="EE39" i="5"/>
  <c r="EE35" i="5"/>
  <c r="EE32" i="5"/>
  <c r="EE16" i="5"/>
  <c r="EE15" i="5"/>
  <c r="EE14" i="5"/>
  <c r="EE13" i="5"/>
  <c r="EE12" i="5"/>
  <c r="EE11" i="5"/>
  <c r="EE10" i="5"/>
  <c r="EE9" i="5"/>
  <c r="EE8" i="5"/>
  <c r="EE7" i="5"/>
  <c r="EE29" i="5"/>
  <c r="EE27" i="5"/>
  <c r="EE25" i="5"/>
  <c r="EE23" i="5"/>
  <c r="EE36" i="5"/>
  <c r="EE18" i="5"/>
  <c r="EE30" i="5"/>
  <c r="EE17" i="5"/>
  <c r="EF5" i="5"/>
  <c r="EE28" i="5"/>
  <c r="EE21" i="5"/>
  <c r="EE38" i="5"/>
  <c r="EE41" i="5"/>
  <c r="EE24" i="5"/>
  <c r="EE26" i="5"/>
  <c r="EE22" i="5"/>
  <c r="EE61" i="5" l="1"/>
  <c r="EF74" i="5"/>
  <c r="EF73" i="5"/>
  <c r="EF70" i="5"/>
  <c r="EF68" i="5"/>
  <c r="EF67" i="5"/>
  <c r="EF66" i="5"/>
  <c r="EF71" i="5"/>
  <c r="EF69" i="5"/>
  <c r="EF65" i="5"/>
  <c r="EF64" i="5"/>
  <c r="EF72" i="5"/>
  <c r="EF60" i="5"/>
  <c r="EF57" i="5"/>
  <c r="EF56" i="5"/>
  <c r="EF58" i="5"/>
  <c r="EF59" i="5"/>
  <c r="EF53" i="5"/>
  <c r="EF52" i="5"/>
  <c r="EF51" i="5"/>
  <c r="EF50" i="5"/>
  <c r="EF63" i="5"/>
  <c r="EF55" i="5"/>
  <c r="EF45" i="5"/>
  <c r="EF43" i="5"/>
  <c r="EF54" i="5"/>
  <c r="EF40" i="5"/>
  <c r="EF39" i="5"/>
  <c r="EF49" i="5"/>
  <c r="EF37" i="5"/>
  <c r="EF35" i="5"/>
  <c r="EF32" i="5"/>
  <c r="EF46" i="5"/>
  <c r="EF42" i="5"/>
  <c r="EF31" i="5"/>
  <c r="EF29" i="5"/>
  <c r="EF27" i="5"/>
  <c r="EF25" i="5"/>
  <c r="EF23" i="5"/>
  <c r="EF36" i="5"/>
  <c r="EF18" i="5"/>
  <c r="EF21" i="5"/>
  <c r="EF16" i="5"/>
  <c r="EF15" i="5"/>
  <c r="EF14" i="5"/>
  <c r="EF13" i="5"/>
  <c r="EF12" i="5"/>
  <c r="EF11" i="5"/>
  <c r="EF10" i="5"/>
  <c r="EF9" i="5"/>
  <c r="EF8" i="5"/>
  <c r="EF7" i="5"/>
  <c r="EF30" i="5"/>
  <c r="EG5" i="5"/>
  <c r="EF38" i="5"/>
  <c r="EF44" i="5"/>
  <c r="EF26" i="5"/>
  <c r="EF41" i="5"/>
  <c r="EF28" i="5"/>
  <c r="EF24" i="5"/>
  <c r="EF22" i="5"/>
  <c r="EF17" i="5"/>
  <c r="EE19" i="5"/>
  <c r="EE47" i="5"/>
  <c r="EE33" i="5"/>
  <c r="EF47" i="5" l="1"/>
  <c r="EF19" i="5"/>
  <c r="EF75" i="5"/>
  <c r="EF61" i="5"/>
  <c r="EF33" i="5"/>
  <c r="EG71" i="5"/>
  <c r="EG72" i="5"/>
  <c r="EG74" i="5"/>
  <c r="EG69" i="5"/>
  <c r="EG68" i="5"/>
  <c r="EG65" i="5"/>
  <c r="EG64" i="5"/>
  <c r="EG63" i="5"/>
  <c r="EG70" i="5"/>
  <c r="EG60" i="5"/>
  <c r="EG59" i="5"/>
  <c r="EG58" i="5"/>
  <c r="EG57" i="5"/>
  <c r="EG66" i="5"/>
  <c r="EG67" i="5"/>
  <c r="EG73" i="5"/>
  <c r="EG53" i="5"/>
  <c r="EG52" i="5"/>
  <c r="EG51" i="5"/>
  <c r="EG50" i="5"/>
  <c r="EG56" i="5"/>
  <c r="EG45" i="5"/>
  <c r="EG54" i="5"/>
  <c r="EG55" i="5"/>
  <c r="EG40" i="5"/>
  <c r="EG39" i="5"/>
  <c r="EG41" i="5"/>
  <c r="EG49" i="5"/>
  <c r="EG43" i="5"/>
  <c r="EG37" i="5"/>
  <c r="EG35" i="5"/>
  <c r="EG32" i="5"/>
  <c r="EG46" i="5"/>
  <c r="EG36" i="5"/>
  <c r="EG31" i="5"/>
  <c r="EG18" i="5"/>
  <c r="EG21" i="5"/>
  <c r="EG24" i="5"/>
  <c r="EG29" i="5"/>
  <c r="EG27" i="5"/>
  <c r="EG25" i="5"/>
  <c r="EG23" i="5"/>
  <c r="EG38" i="5"/>
  <c r="EG22" i="5"/>
  <c r="EG15" i="5"/>
  <c r="EG13" i="5"/>
  <c r="EG11" i="5"/>
  <c r="EG9" i="5"/>
  <c r="EG44" i="5"/>
  <c r="EG42" i="5"/>
  <c r="EG26" i="5"/>
  <c r="EG30" i="5"/>
  <c r="EH5" i="5"/>
  <c r="EG8" i="5"/>
  <c r="EG14" i="5"/>
  <c r="EG10" i="5"/>
  <c r="EG7" i="5"/>
  <c r="EG16" i="5"/>
  <c r="EG17" i="5"/>
  <c r="EG28" i="5"/>
  <c r="EG12" i="5"/>
  <c r="EG19" i="5" l="1"/>
  <c r="EG75" i="5"/>
  <c r="EG47" i="5"/>
  <c r="EH74" i="5"/>
  <c r="EH71" i="5"/>
  <c r="EH72" i="5"/>
  <c r="EH73" i="5"/>
  <c r="EH69" i="5"/>
  <c r="EH68" i="5"/>
  <c r="EH70" i="5"/>
  <c r="EH66" i="5"/>
  <c r="EH60" i="5"/>
  <c r="EH67" i="5"/>
  <c r="EH65" i="5"/>
  <c r="EH64" i="5"/>
  <c r="EH57" i="5"/>
  <c r="EH59" i="5"/>
  <c r="EH52" i="5"/>
  <c r="EH51" i="5"/>
  <c r="EH50" i="5"/>
  <c r="EH49" i="5"/>
  <c r="EH54" i="5"/>
  <c r="EH63" i="5"/>
  <c r="EH75" i="5" s="1"/>
  <c r="EH58" i="5"/>
  <c r="EH53" i="5"/>
  <c r="EH46" i="5"/>
  <c r="EH45" i="5"/>
  <c r="EH39" i="5"/>
  <c r="EH32" i="5"/>
  <c r="EH31" i="5"/>
  <c r="EH30" i="5"/>
  <c r="EH56" i="5"/>
  <c r="EH41" i="5"/>
  <c r="EH44" i="5"/>
  <c r="EH42" i="5"/>
  <c r="EH55" i="5"/>
  <c r="EH40" i="5"/>
  <c r="EH35" i="5"/>
  <c r="EH18" i="5"/>
  <c r="EH17" i="5"/>
  <c r="EH37" i="5"/>
  <c r="EH21" i="5"/>
  <c r="EH43" i="5"/>
  <c r="EH24" i="5"/>
  <c r="EH38" i="5"/>
  <c r="EH28" i="5"/>
  <c r="EH26" i="5"/>
  <c r="EH36" i="5"/>
  <c r="EH29" i="5"/>
  <c r="EH22" i="5"/>
  <c r="EH15" i="5"/>
  <c r="EH13" i="5"/>
  <c r="EH11" i="5"/>
  <c r="EH9" i="5"/>
  <c r="EH14" i="5"/>
  <c r="EH12" i="5"/>
  <c r="EH7" i="5"/>
  <c r="EH10" i="5"/>
  <c r="EH16" i="5"/>
  <c r="EI5" i="5"/>
  <c r="EH8" i="5"/>
  <c r="EH27" i="5"/>
  <c r="EH25" i="5"/>
  <c r="EH23" i="5"/>
  <c r="EG33" i="5"/>
  <c r="EG61" i="5"/>
  <c r="EH61" i="5" l="1"/>
  <c r="EH47" i="5"/>
  <c r="EH33" i="5"/>
  <c r="EI74" i="5"/>
  <c r="EI72" i="5"/>
  <c r="EI71" i="5"/>
  <c r="EI73" i="5"/>
  <c r="EI69" i="5"/>
  <c r="EI70" i="5"/>
  <c r="EI66" i="5"/>
  <c r="EI67" i="5"/>
  <c r="EI68" i="5"/>
  <c r="EI65" i="5"/>
  <c r="EI64" i="5"/>
  <c r="EI57" i="5"/>
  <c r="EI58" i="5"/>
  <c r="EI54" i="5"/>
  <c r="EI63" i="5"/>
  <c r="EI55" i="5"/>
  <c r="EI59" i="5"/>
  <c r="EI52" i="5"/>
  <c r="EI51" i="5"/>
  <c r="EI46" i="5"/>
  <c r="EI49" i="5"/>
  <c r="EI61" i="5" s="1"/>
  <c r="EI56" i="5"/>
  <c r="EI41" i="5"/>
  <c r="EI44" i="5"/>
  <c r="EI42" i="5"/>
  <c r="EI60" i="5"/>
  <c r="EI53" i="5"/>
  <c r="EI38" i="5"/>
  <c r="EI37" i="5"/>
  <c r="EI36" i="5"/>
  <c r="EI35" i="5"/>
  <c r="EI50" i="5"/>
  <c r="EI39" i="5"/>
  <c r="EI32" i="5"/>
  <c r="EI45" i="5"/>
  <c r="EI30" i="5"/>
  <c r="EI29" i="5"/>
  <c r="EI28" i="5"/>
  <c r="EI27" i="5"/>
  <c r="EI26" i="5"/>
  <c r="EI25" i="5"/>
  <c r="EI43" i="5"/>
  <c r="EI24" i="5"/>
  <c r="EI22" i="5"/>
  <c r="EI31" i="5"/>
  <c r="EI21" i="5"/>
  <c r="EI18" i="5"/>
  <c r="EI15" i="5"/>
  <c r="EI13" i="5"/>
  <c r="EI11" i="5"/>
  <c r="EI9" i="5"/>
  <c r="EI40" i="5"/>
  <c r="EI8" i="5"/>
  <c r="EI7" i="5"/>
  <c r="EI16" i="5"/>
  <c r="EJ5" i="5"/>
  <c r="EI23" i="5"/>
  <c r="EI12" i="5"/>
  <c r="EI10" i="5"/>
  <c r="EI17" i="5"/>
  <c r="EI14" i="5"/>
  <c r="EH19" i="5"/>
  <c r="EJ72" i="5" l="1"/>
  <c r="EJ71" i="5"/>
  <c r="EJ74" i="5"/>
  <c r="EJ73" i="5"/>
  <c r="EJ69" i="5"/>
  <c r="EJ70" i="5"/>
  <c r="EJ66" i="5"/>
  <c r="EJ67" i="5"/>
  <c r="EJ65" i="5"/>
  <c r="EJ64" i="5"/>
  <c r="EJ58" i="5"/>
  <c r="EJ57" i="5"/>
  <c r="EJ68" i="5"/>
  <c r="EJ54" i="5"/>
  <c r="EJ63" i="5"/>
  <c r="EJ55" i="5"/>
  <c r="EJ52" i="5"/>
  <c r="EJ46" i="5"/>
  <c r="EJ49" i="5"/>
  <c r="EJ53" i="5"/>
  <c r="EJ50" i="5"/>
  <c r="EJ44" i="5"/>
  <c r="EJ43" i="5"/>
  <c r="EJ42" i="5"/>
  <c r="EJ41" i="5"/>
  <c r="EJ59" i="5"/>
  <c r="EJ60" i="5"/>
  <c r="EJ38" i="5"/>
  <c r="EJ37" i="5"/>
  <c r="EJ36" i="5"/>
  <c r="EJ35" i="5"/>
  <c r="EJ51" i="5"/>
  <c r="EJ56" i="5"/>
  <c r="EJ45" i="5"/>
  <c r="EJ30" i="5"/>
  <c r="EJ29" i="5"/>
  <c r="EJ28" i="5"/>
  <c r="EJ27" i="5"/>
  <c r="EJ26" i="5"/>
  <c r="EJ25" i="5"/>
  <c r="EJ32" i="5"/>
  <c r="EJ39" i="5"/>
  <c r="EJ22" i="5"/>
  <c r="EJ24" i="5"/>
  <c r="EJ31" i="5"/>
  <c r="EJ21" i="5"/>
  <c r="EJ40" i="5"/>
  <c r="EJ8" i="5"/>
  <c r="EJ23" i="5"/>
  <c r="EJ15" i="5"/>
  <c r="EJ13" i="5"/>
  <c r="EJ11" i="5"/>
  <c r="EJ9" i="5"/>
  <c r="EJ16" i="5"/>
  <c r="EK5" i="5"/>
  <c r="EJ17" i="5"/>
  <c r="EJ10" i="5"/>
  <c r="EJ18" i="5"/>
  <c r="EJ12" i="5"/>
  <c r="EJ14" i="5"/>
  <c r="EJ7" i="5"/>
  <c r="EI47" i="5"/>
  <c r="EI75" i="5"/>
  <c r="EI19" i="5"/>
  <c r="EI33" i="5"/>
  <c r="EK72" i="5" l="1"/>
  <c r="EK71" i="5"/>
  <c r="EK70" i="5"/>
  <c r="EK69" i="5"/>
  <c r="EK74" i="5"/>
  <c r="EK67" i="5"/>
  <c r="EK66" i="5"/>
  <c r="EK63" i="5"/>
  <c r="EK75" i="5" s="1"/>
  <c r="EK73" i="5"/>
  <c r="EK58" i="5"/>
  <c r="EK64" i="5"/>
  <c r="EK59" i="5"/>
  <c r="EK56" i="5"/>
  <c r="EK55" i="5"/>
  <c r="EK60" i="5"/>
  <c r="EK68" i="5"/>
  <c r="EK57" i="5"/>
  <c r="EK54" i="5"/>
  <c r="EK49" i="5"/>
  <c r="EK65" i="5"/>
  <c r="EK53" i="5"/>
  <c r="EK50" i="5"/>
  <c r="EK44" i="5"/>
  <c r="EK43" i="5"/>
  <c r="EK42" i="5"/>
  <c r="EK41" i="5"/>
  <c r="EK40" i="5"/>
  <c r="EK52" i="5"/>
  <c r="EK46" i="5"/>
  <c r="EK38" i="5"/>
  <c r="EK37" i="5"/>
  <c r="EK36" i="5"/>
  <c r="EK35" i="5"/>
  <c r="EK45" i="5"/>
  <c r="EK51" i="5"/>
  <c r="EK30" i="5"/>
  <c r="EK29" i="5"/>
  <c r="EK28" i="5"/>
  <c r="EK27" i="5"/>
  <c r="EK26" i="5"/>
  <c r="EK25" i="5"/>
  <c r="EK24" i="5"/>
  <c r="EK23" i="5"/>
  <c r="EK22" i="5"/>
  <c r="EK21" i="5"/>
  <c r="EK39" i="5"/>
  <c r="EK17" i="5"/>
  <c r="EK16" i="5"/>
  <c r="EK15" i="5"/>
  <c r="EK14" i="5"/>
  <c r="EK13" i="5"/>
  <c r="EK12" i="5"/>
  <c r="EK11" i="5"/>
  <c r="EK10" i="5"/>
  <c r="EK9" i="5"/>
  <c r="EK32" i="5"/>
  <c r="EK8" i="5"/>
  <c r="EK7" i="5"/>
  <c r="EK31" i="5"/>
  <c r="EK18" i="5"/>
  <c r="EL5" i="5"/>
  <c r="EJ47" i="5"/>
  <c r="EJ61" i="5"/>
  <c r="EJ33" i="5"/>
  <c r="EJ19" i="5"/>
  <c r="EJ75" i="5"/>
  <c r="EL74" i="5" l="1"/>
  <c r="EL73" i="5"/>
  <c r="EL72" i="5"/>
  <c r="EL69" i="5"/>
  <c r="EL68" i="5"/>
  <c r="EL67" i="5"/>
  <c r="EL70" i="5"/>
  <c r="EL66" i="5"/>
  <c r="EL71" i="5"/>
  <c r="EL63" i="5"/>
  <c r="EL64" i="5"/>
  <c r="EL59" i="5"/>
  <c r="EL56" i="5"/>
  <c r="EL55" i="5"/>
  <c r="EL58" i="5"/>
  <c r="EL60" i="5"/>
  <c r="EL65" i="5"/>
  <c r="EL57" i="5"/>
  <c r="EL53" i="5"/>
  <c r="EL50" i="5"/>
  <c r="EL44" i="5"/>
  <c r="EL43" i="5"/>
  <c r="EL42" i="5"/>
  <c r="EL41" i="5"/>
  <c r="EL40" i="5"/>
  <c r="EL39" i="5"/>
  <c r="EL54" i="5"/>
  <c r="EL49" i="5"/>
  <c r="EL45" i="5"/>
  <c r="EL46" i="5"/>
  <c r="EL51" i="5"/>
  <c r="EL52" i="5"/>
  <c r="EL38" i="5"/>
  <c r="EL37" i="5"/>
  <c r="EL36" i="5"/>
  <c r="EL31" i="5"/>
  <c r="EL35" i="5"/>
  <c r="EL30" i="5"/>
  <c r="EL29" i="5"/>
  <c r="EL28" i="5"/>
  <c r="EL27" i="5"/>
  <c r="EL26" i="5"/>
  <c r="EL25" i="5"/>
  <c r="EL22" i="5"/>
  <c r="EM5" i="5"/>
  <c r="EL17" i="5"/>
  <c r="EL16" i="5"/>
  <c r="EL15" i="5"/>
  <c r="EL14" i="5"/>
  <c r="EL13" i="5"/>
  <c r="EL12" i="5"/>
  <c r="EL11" i="5"/>
  <c r="EL10" i="5"/>
  <c r="EL9" i="5"/>
  <c r="EL32" i="5"/>
  <c r="EL23" i="5"/>
  <c r="EL7" i="5"/>
  <c r="EL21" i="5"/>
  <c r="EL8" i="5"/>
  <c r="EL18" i="5"/>
  <c r="EL24" i="5"/>
  <c r="EK61" i="5"/>
  <c r="EK19" i="5"/>
  <c r="EK33" i="5"/>
  <c r="EK47" i="5"/>
  <c r="EL47" i="5" l="1"/>
  <c r="EL61" i="5"/>
  <c r="EL33" i="5"/>
  <c r="EL75" i="5"/>
  <c r="EM73" i="5"/>
  <c r="EM74" i="5"/>
  <c r="EM68" i="5"/>
  <c r="EM67" i="5"/>
  <c r="EM70" i="5"/>
  <c r="EM72" i="5"/>
  <c r="EM65" i="5"/>
  <c r="EM64" i="5"/>
  <c r="EM69" i="5"/>
  <c r="EM66" i="5"/>
  <c r="EM71" i="5"/>
  <c r="EM63" i="5"/>
  <c r="EM75" i="5" s="1"/>
  <c r="EM60" i="5"/>
  <c r="EM59" i="5"/>
  <c r="EM56" i="5"/>
  <c r="EM55" i="5"/>
  <c r="EM54" i="5"/>
  <c r="EM53" i="5"/>
  <c r="EM46" i="5"/>
  <c r="EM45" i="5"/>
  <c r="EM58" i="5"/>
  <c r="EM51" i="5"/>
  <c r="EM57" i="5"/>
  <c r="EM50" i="5"/>
  <c r="EM44" i="5"/>
  <c r="EM43" i="5"/>
  <c r="EM42" i="5"/>
  <c r="EM49" i="5"/>
  <c r="EM61" i="5" s="1"/>
  <c r="EM52" i="5"/>
  <c r="EM41" i="5"/>
  <c r="EM31" i="5"/>
  <c r="EM38" i="5"/>
  <c r="EM36" i="5"/>
  <c r="EM17" i="5"/>
  <c r="EM16" i="5"/>
  <c r="EM15" i="5"/>
  <c r="EM14" i="5"/>
  <c r="EM13" i="5"/>
  <c r="EM12" i="5"/>
  <c r="EM11" i="5"/>
  <c r="EM10" i="5"/>
  <c r="EM9" i="5"/>
  <c r="EM8" i="5"/>
  <c r="EM7" i="5"/>
  <c r="EM19" i="5" s="1"/>
  <c r="EM28" i="5"/>
  <c r="EM26" i="5"/>
  <c r="EM37" i="5"/>
  <c r="EM23" i="5"/>
  <c r="EM39" i="5"/>
  <c r="EM35" i="5"/>
  <c r="EM22" i="5"/>
  <c r="EN5" i="5"/>
  <c r="EM40" i="5"/>
  <c r="EM29" i="5"/>
  <c r="EM25" i="5"/>
  <c r="EM24" i="5"/>
  <c r="EM18" i="5"/>
  <c r="EM32" i="5"/>
  <c r="EM21" i="5"/>
  <c r="EM30" i="5"/>
  <c r="EM27" i="5"/>
  <c r="EL19" i="5"/>
  <c r="EN74" i="5" l="1"/>
  <c r="EN73" i="5"/>
  <c r="EN68" i="5"/>
  <c r="EN67" i="5"/>
  <c r="EN66" i="5"/>
  <c r="EN70" i="5"/>
  <c r="EN71" i="5"/>
  <c r="EN72" i="5"/>
  <c r="EN65" i="5"/>
  <c r="EN64" i="5"/>
  <c r="EN63" i="5"/>
  <c r="EN60" i="5"/>
  <c r="EN69" i="5"/>
  <c r="EN59" i="5"/>
  <c r="EN56" i="5"/>
  <c r="EN53" i="5"/>
  <c r="EN52" i="5"/>
  <c r="EN51" i="5"/>
  <c r="EN50" i="5"/>
  <c r="EN55" i="5"/>
  <c r="EN54" i="5"/>
  <c r="EN45" i="5"/>
  <c r="EN58" i="5"/>
  <c r="EN44" i="5"/>
  <c r="EN46" i="5"/>
  <c r="EN57" i="5"/>
  <c r="EN42" i="5"/>
  <c r="EN31" i="5"/>
  <c r="EN38" i="5"/>
  <c r="EN36" i="5"/>
  <c r="EN43" i="5"/>
  <c r="EN41" i="5"/>
  <c r="EN28" i="5"/>
  <c r="EN26" i="5"/>
  <c r="EN49" i="5"/>
  <c r="EN37" i="5"/>
  <c r="EN23" i="5"/>
  <c r="EN40" i="5"/>
  <c r="EN18" i="5"/>
  <c r="EN17" i="5"/>
  <c r="EN16" i="5"/>
  <c r="EN15" i="5"/>
  <c r="EN14" i="5"/>
  <c r="EN13" i="5"/>
  <c r="EN12" i="5"/>
  <c r="EN11" i="5"/>
  <c r="EN10" i="5"/>
  <c r="EN9" i="5"/>
  <c r="EN8" i="5"/>
  <c r="EN7" i="5"/>
  <c r="EN22" i="5"/>
  <c r="EN25" i="5"/>
  <c r="EN24" i="5"/>
  <c r="EO5" i="5"/>
  <c r="EN35" i="5"/>
  <c r="EN27" i="5"/>
  <c r="EN30" i="5"/>
  <c r="EN32" i="5"/>
  <c r="EN39" i="5"/>
  <c r="EN29" i="5"/>
  <c r="EN21" i="5"/>
  <c r="EM33" i="5"/>
  <c r="EM47" i="5"/>
  <c r="EN61" i="5" l="1"/>
  <c r="EN75" i="5"/>
  <c r="EN33" i="5"/>
  <c r="EN47" i="5"/>
  <c r="EO73" i="5"/>
  <c r="EO70" i="5"/>
  <c r="EO71" i="5"/>
  <c r="EO72" i="5"/>
  <c r="EO65" i="5"/>
  <c r="EO64" i="5"/>
  <c r="EO63" i="5"/>
  <c r="EO67" i="5"/>
  <c r="EO74" i="5"/>
  <c r="EO60" i="5"/>
  <c r="EO59" i="5"/>
  <c r="EO58" i="5"/>
  <c r="EO57" i="5"/>
  <c r="EO69" i="5"/>
  <c r="EO66" i="5"/>
  <c r="EO53" i="5"/>
  <c r="EO52" i="5"/>
  <c r="EO51" i="5"/>
  <c r="EO50" i="5"/>
  <c r="EO68" i="5"/>
  <c r="EO45" i="5"/>
  <c r="EO56" i="5"/>
  <c r="EO54" i="5"/>
  <c r="EO46" i="5"/>
  <c r="EO55" i="5"/>
  <c r="EO40" i="5"/>
  <c r="EO39" i="5"/>
  <c r="EO49" i="5"/>
  <c r="EO61" i="5" s="1"/>
  <c r="EO44" i="5"/>
  <c r="EO38" i="5"/>
  <c r="EO36" i="5"/>
  <c r="EO43" i="5"/>
  <c r="EO41" i="5"/>
  <c r="EO32" i="5"/>
  <c r="EO31" i="5"/>
  <c r="EO37" i="5"/>
  <c r="EO23" i="5"/>
  <c r="EO18" i="5"/>
  <c r="EO42" i="5"/>
  <c r="EO30" i="5"/>
  <c r="EO21" i="5"/>
  <c r="EO28" i="5"/>
  <c r="EO26" i="5"/>
  <c r="EO25" i="5"/>
  <c r="EO24" i="5"/>
  <c r="EO7" i="5"/>
  <c r="EP5" i="5"/>
  <c r="EO17" i="5"/>
  <c r="EO16" i="5"/>
  <c r="EO14" i="5"/>
  <c r="EO12" i="5"/>
  <c r="EO10" i="5"/>
  <c r="EO35" i="5"/>
  <c r="EO27" i="5"/>
  <c r="EO22" i="5"/>
  <c r="EO29" i="5"/>
  <c r="EO11" i="5"/>
  <c r="EO15" i="5"/>
  <c r="EO9" i="5"/>
  <c r="EO8" i="5"/>
  <c r="EO13" i="5"/>
  <c r="EN19" i="5"/>
  <c r="EO33" i="5" l="1"/>
  <c r="EO75" i="5"/>
  <c r="EO19" i="5"/>
  <c r="EP74" i="5"/>
  <c r="EP73" i="5"/>
  <c r="EP72" i="5"/>
  <c r="EP71" i="5"/>
  <c r="EP60" i="5"/>
  <c r="EP67" i="5"/>
  <c r="EP70" i="5"/>
  <c r="EP64" i="5"/>
  <c r="EP68" i="5"/>
  <c r="EP63" i="5"/>
  <c r="EP57" i="5"/>
  <c r="EP69" i="5"/>
  <c r="EP53" i="5"/>
  <c r="EP52" i="5"/>
  <c r="EP51" i="5"/>
  <c r="EP50" i="5"/>
  <c r="EP49" i="5"/>
  <c r="EP56" i="5"/>
  <c r="EP65" i="5"/>
  <c r="EP66" i="5"/>
  <c r="EP45" i="5"/>
  <c r="EP54" i="5"/>
  <c r="EP32" i="5"/>
  <c r="EP31" i="5"/>
  <c r="EP30" i="5"/>
  <c r="EP55" i="5"/>
  <c r="EP40" i="5"/>
  <c r="EP39" i="5"/>
  <c r="EP43" i="5"/>
  <c r="EP59" i="5"/>
  <c r="EP58" i="5"/>
  <c r="EP46" i="5"/>
  <c r="EP41" i="5"/>
  <c r="EP18" i="5"/>
  <c r="EP17" i="5"/>
  <c r="EP38" i="5"/>
  <c r="EP36" i="5"/>
  <c r="EP42" i="5"/>
  <c r="EP21" i="5"/>
  <c r="EP29" i="5"/>
  <c r="EP27" i="5"/>
  <c r="EP25" i="5"/>
  <c r="EP24" i="5"/>
  <c r="EP37" i="5"/>
  <c r="EP23" i="5"/>
  <c r="EQ5" i="5"/>
  <c r="EP16" i="5"/>
  <c r="EP14" i="5"/>
  <c r="EP12" i="5"/>
  <c r="EP10" i="5"/>
  <c r="EP44" i="5"/>
  <c r="EP35" i="5"/>
  <c r="EP26" i="5"/>
  <c r="EP7" i="5"/>
  <c r="EP15" i="5"/>
  <c r="EP22" i="5"/>
  <c r="EP9" i="5"/>
  <c r="EP8" i="5"/>
  <c r="EP11" i="5"/>
  <c r="EP28" i="5"/>
  <c r="EP13" i="5"/>
  <c r="EO47" i="5"/>
  <c r="EP75" i="5" l="1"/>
  <c r="EP61" i="5"/>
  <c r="EP47" i="5"/>
  <c r="EP33" i="5"/>
  <c r="EP19" i="5"/>
  <c r="EQ74" i="5"/>
  <c r="EQ72" i="5"/>
  <c r="EQ71" i="5"/>
  <c r="EQ68" i="5"/>
  <c r="EQ66" i="5"/>
  <c r="EQ67" i="5"/>
  <c r="EQ70" i="5"/>
  <c r="EQ73" i="5"/>
  <c r="EQ63" i="5"/>
  <c r="EQ57" i="5"/>
  <c r="EQ65" i="5"/>
  <c r="EQ60" i="5"/>
  <c r="EQ64" i="5"/>
  <c r="EQ56" i="5"/>
  <c r="EQ54" i="5"/>
  <c r="EQ69" i="5"/>
  <c r="EQ53" i="5"/>
  <c r="EQ52" i="5"/>
  <c r="EQ51" i="5"/>
  <c r="EQ50" i="5"/>
  <c r="EQ46" i="5"/>
  <c r="EQ45" i="5"/>
  <c r="EQ55" i="5"/>
  <c r="EQ40" i="5"/>
  <c r="EQ39" i="5"/>
  <c r="EQ43" i="5"/>
  <c r="EQ49" i="5"/>
  <c r="EQ38" i="5"/>
  <c r="EQ37" i="5"/>
  <c r="EQ36" i="5"/>
  <c r="EQ35" i="5"/>
  <c r="EQ59" i="5"/>
  <c r="EQ58" i="5"/>
  <c r="EQ32" i="5"/>
  <c r="EQ44" i="5"/>
  <c r="EQ29" i="5"/>
  <c r="EQ28" i="5"/>
  <c r="EQ27" i="5"/>
  <c r="EQ26" i="5"/>
  <c r="EQ25" i="5"/>
  <c r="EQ41" i="5"/>
  <c r="EQ42" i="5"/>
  <c r="EQ21" i="5"/>
  <c r="EQ18" i="5"/>
  <c r="EQ30" i="5"/>
  <c r="EQ24" i="5"/>
  <c r="EQ23" i="5"/>
  <c r="EQ16" i="5"/>
  <c r="EQ14" i="5"/>
  <c r="EQ12" i="5"/>
  <c r="EQ10" i="5"/>
  <c r="EQ17" i="5"/>
  <c r="EQ31" i="5"/>
  <c r="ER5" i="5"/>
  <c r="EQ7" i="5"/>
  <c r="EQ9" i="5"/>
  <c r="EQ13" i="5"/>
  <c r="EQ8" i="5"/>
  <c r="EQ11" i="5"/>
  <c r="EQ22" i="5"/>
  <c r="EQ15" i="5"/>
  <c r="EQ33" i="5" l="1"/>
  <c r="EQ61" i="5"/>
  <c r="ER74" i="5"/>
  <c r="ER72" i="5"/>
  <c r="ER71" i="5"/>
  <c r="ER69" i="5"/>
  <c r="ER68" i="5"/>
  <c r="ER66" i="5"/>
  <c r="ER70" i="5"/>
  <c r="ER73" i="5"/>
  <c r="ER65" i="5"/>
  <c r="ER64" i="5"/>
  <c r="ER63" i="5"/>
  <c r="ER57" i="5"/>
  <c r="ER60" i="5"/>
  <c r="ER58" i="5"/>
  <c r="ER67" i="5"/>
  <c r="ER56" i="5"/>
  <c r="ER54" i="5"/>
  <c r="ER51" i="5"/>
  <c r="ER46" i="5"/>
  <c r="ER55" i="5"/>
  <c r="ER49" i="5"/>
  <c r="ER44" i="5"/>
  <c r="ER43" i="5"/>
  <c r="ER42" i="5"/>
  <c r="ER41" i="5"/>
  <c r="ER53" i="5"/>
  <c r="ER45" i="5"/>
  <c r="ER38" i="5"/>
  <c r="ER37" i="5"/>
  <c r="ER36" i="5"/>
  <c r="ER35" i="5"/>
  <c r="ER59" i="5"/>
  <c r="ER52" i="5"/>
  <c r="ER50" i="5"/>
  <c r="ER40" i="5"/>
  <c r="ER39" i="5"/>
  <c r="ER32" i="5"/>
  <c r="ER29" i="5"/>
  <c r="ER28" i="5"/>
  <c r="ER27" i="5"/>
  <c r="ER26" i="5"/>
  <c r="ER25" i="5"/>
  <c r="ER30" i="5"/>
  <c r="ER24" i="5"/>
  <c r="ER22" i="5"/>
  <c r="ER21" i="5"/>
  <c r="ER33" i="5" s="1"/>
  <c r="ER18" i="5"/>
  <c r="ER17" i="5"/>
  <c r="ER31" i="5"/>
  <c r="ER23" i="5"/>
  <c r="ER16" i="5"/>
  <c r="ER14" i="5"/>
  <c r="ER12" i="5"/>
  <c r="ER10" i="5"/>
  <c r="ER9" i="5"/>
  <c r="ER7" i="5"/>
  <c r="ES5" i="5"/>
  <c r="ER8" i="5"/>
  <c r="ER11" i="5"/>
  <c r="ER13" i="5"/>
  <c r="ER15" i="5"/>
  <c r="EQ47" i="5"/>
  <c r="EQ75" i="5"/>
  <c r="EQ19" i="5"/>
  <c r="ER61" i="5" l="1"/>
  <c r="ES72" i="5"/>
  <c r="ES71" i="5"/>
  <c r="ES70" i="5"/>
  <c r="ES69" i="5"/>
  <c r="ES73" i="5"/>
  <c r="ES66" i="5"/>
  <c r="ES68" i="5"/>
  <c r="ES65" i="5"/>
  <c r="ES64" i="5"/>
  <c r="ES60" i="5"/>
  <c r="ES58" i="5"/>
  <c r="ES56" i="5"/>
  <c r="ES63" i="5"/>
  <c r="ES57" i="5"/>
  <c r="ES54" i="5"/>
  <c r="ES67" i="5"/>
  <c r="ES59" i="5"/>
  <c r="ES55" i="5"/>
  <c r="ES74" i="5"/>
  <c r="ES51" i="5"/>
  <c r="ES46" i="5"/>
  <c r="ES49" i="5"/>
  <c r="ES44" i="5"/>
  <c r="ES43" i="5"/>
  <c r="ES42" i="5"/>
  <c r="ES41" i="5"/>
  <c r="ES40" i="5"/>
  <c r="ES38" i="5"/>
  <c r="ES37" i="5"/>
  <c r="ES36" i="5"/>
  <c r="ES35" i="5"/>
  <c r="ES47" i="5" s="1"/>
  <c r="ES53" i="5"/>
  <c r="ES52" i="5"/>
  <c r="ES50" i="5"/>
  <c r="ES45" i="5"/>
  <c r="ES29" i="5"/>
  <c r="ES28" i="5"/>
  <c r="ES27" i="5"/>
  <c r="ES26" i="5"/>
  <c r="ES25" i="5"/>
  <c r="ES24" i="5"/>
  <c r="ES23" i="5"/>
  <c r="ES22" i="5"/>
  <c r="ES21" i="5"/>
  <c r="ES30" i="5"/>
  <c r="ES39" i="5"/>
  <c r="ES32" i="5"/>
  <c r="ES31" i="5"/>
  <c r="ES16" i="5"/>
  <c r="ES15" i="5"/>
  <c r="ES14" i="5"/>
  <c r="ES13" i="5"/>
  <c r="ES12" i="5"/>
  <c r="ES11" i="5"/>
  <c r="ES10" i="5"/>
  <c r="ES9" i="5"/>
  <c r="ES18" i="5"/>
  <c r="ES8" i="5"/>
  <c r="ES17" i="5"/>
  <c r="ES7" i="5"/>
  <c r="ET5" i="5"/>
  <c r="ER19" i="5"/>
  <c r="ER75" i="5"/>
  <c r="ER47" i="5"/>
  <c r="ES75" i="5" l="1"/>
  <c r="ES33" i="5"/>
  <c r="ET69" i="5"/>
  <c r="ET74" i="5"/>
  <c r="ET73" i="5"/>
  <c r="ET71" i="5"/>
  <c r="ET68" i="5"/>
  <c r="ET67" i="5"/>
  <c r="ET66" i="5"/>
  <c r="ET70" i="5"/>
  <c r="ET65" i="5"/>
  <c r="ET64" i="5"/>
  <c r="ET63" i="5"/>
  <c r="ET72" i="5"/>
  <c r="ET58" i="5"/>
  <c r="ET56" i="5"/>
  <c r="ET55" i="5"/>
  <c r="ET59" i="5"/>
  <c r="ET60" i="5"/>
  <c r="ET54" i="5"/>
  <c r="ET49" i="5"/>
  <c r="ET44" i="5"/>
  <c r="ET43" i="5"/>
  <c r="ET42" i="5"/>
  <c r="ET41" i="5"/>
  <c r="ET40" i="5"/>
  <c r="ET39" i="5"/>
  <c r="ET52" i="5"/>
  <c r="ET51" i="5"/>
  <c r="ET46" i="5"/>
  <c r="ET53" i="5"/>
  <c r="ET50" i="5"/>
  <c r="ET57" i="5"/>
  <c r="ET38" i="5"/>
  <c r="ET37" i="5"/>
  <c r="ET36" i="5"/>
  <c r="ET35" i="5"/>
  <c r="ET30" i="5"/>
  <c r="ET45" i="5"/>
  <c r="ET29" i="5"/>
  <c r="ET28" i="5"/>
  <c r="ET27" i="5"/>
  <c r="ET26" i="5"/>
  <c r="ET25" i="5"/>
  <c r="EU5" i="5"/>
  <c r="ET31" i="5"/>
  <c r="ET22" i="5"/>
  <c r="ET16" i="5"/>
  <c r="ET15" i="5"/>
  <c r="ET14" i="5"/>
  <c r="ET13" i="5"/>
  <c r="ET12" i="5"/>
  <c r="ET11" i="5"/>
  <c r="ET10" i="5"/>
  <c r="ET9" i="5"/>
  <c r="ET17" i="5"/>
  <c r="ET24" i="5"/>
  <c r="ET18" i="5"/>
  <c r="ET8" i="5"/>
  <c r="ET32" i="5"/>
  <c r="ET21" i="5"/>
  <c r="ET7" i="5"/>
  <c r="ET23" i="5"/>
  <c r="ES19" i="5"/>
  <c r="ES61" i="5"/>
  <c r="ET33" i="5" l="1"/>
  <c r="ET19" i="5"/>
  <c r="ET47" i="5"/>
  <c r="ET75" i="5"/>
  <c r="EU73" i="5"/>
  <c r="EU69" i="5"/>
  <c r="EU74" i="5"/>
  <c r="EU71" i="5"/>
  <c r="EU68" i="5"/>
  <c r="EU67" i="5"/>
  <c r="EU72" i="5"/>
  <c r="EU70" i="5"/>
  <c r="EU65" i="5"/>
  <c r="EU64" i="5"/>
  <c r="EU63" i="5"/>
  <c r="EU75" i="5" s="1"/>
  <c r="EU60" i="5"/>
  <c r="EU56" i="5"/>
  <c r="EU55" i="5"/>
  <c r="EU54" i="5"/>
  <c r="EU53" i="5"/>
  <c r="EU59" i="5"/>
  <c r="EU66" i="5"/>
  <c r="EU58" i="5"/>
  <c r="EU46" i="5"/>
  <c r="EU45" i="5"/>
  <c r="EU57" i="5"/>
  <c r="EU52" i="5"/>
  <c r="EU49" i="5"/>
  <c r="EU44" i="5"/>
  <c r="EU43" i="5"/>
  <c r="EU50" i="5"/>
  <c r="EU41" i="5"/>
  <c r="EU51" i="5"/>
  <c r="EU39" i="5"/>
  <c r="EU42" i="5"/>
  <c r="EU40" i="5"/>
  <c r="EU37" i="5"/>
  <c r="EU35" i="5"/>
  <c r="EU31" i="5"/>
  <c r="EU30" i="5"/>
  <c r="EU22" i="5"/>
  <c r="EU16" i="5"/>
  <c r="EU15" i="5"/>
  <c r="EU14" i="5"/>
  <c r="EU13" i="5"/>
  <c r="EU12" i="5"/>
  <c r="EU11" i="5"/>
  <c r="EU10" i="5"/>
  <c r="EU9" i="5"/>
  <c r="EU8" i="5"/>
  <c r="EU7" i="5"/>
  <c r="EU38" i="5"/>
  <c r="EU29" i="5"/>
  <c r="EU27" i="5"/>
  <c r="EU25" i="5"/>
  <c r="EU17" i="5"/>
  <c r="EU32" i="5"/>
  <c r="EV5" i="5"/>
  <c r="EU36" i="5"/>
  <c r="EU26" i="5"/>
  <c r="EU28" i="5"/>
  <c r="EU24" i="5"/>
  <c r="EU18" i="5"/>
  <c r="EU21" i="5"/>
  <c r="EU33" i="5" s="1"/>
  <c r="EU23" i="5"/>
  <c r="ET61" i="5"/>
  <c r="EU47" i="5" l="1"/>
  <c r="EU61" i="5"/>
  <c r="EV74" i="5"/>
  <c r="EV73" i="5"/>
  <c r="EV71" i="5"/>
  <c r="EV68" i="5"/>
  <c r="EV67" i="5"/>
  <c r="EV66" i="5"/>
  <c r="EV72" i="5"/>
  <c r="EV70" i="5"/>
  <c r="EV65" i="5"/>
  <c r="EV64" i="5"/>
  <c r="EV69" i="5"/>
  <c r="EV63" i="5"/>
  <c r="EV60" i="5"/>
  <c r="EV59" i="5"/>
  <c r="EV56" i="5"/>
  <c r="EV57" i="5"/>
  <c r="EV55" i="5"/>
  <c r="EV58" i="5"/>
  <c r="EV52" i="5"/>
  <c r="EV51" i="5"/>
  <c r="EV50" i="5"/>
  <c r="EV43" i="5"/>
  <c r="EV49" i="5"/>
  <c r="EV41" i="5"/>
  <c r="EV42" i="5"/>
  <c r="EV54" i="5"/>
  <c r="EV53" i="5"/>
  <c r="EV39" i="5"/>
  <c r="EV44" i="5"/>
  <c r="EV40" i="5"/>
  <c r="EV37" i="5"/>
  <c r="EV35" i="5"/>
  <c r="EV31" i="5"/>
  <c r="EV38" i="5"/>
  <c r="EV30" i="5"/>
  <c r="EV29" i="5"/>
  <c r="EV27" i="5"/>
  <c r="EV25" i="5"/>
  <c r="EV17" i="5"/>
  <c r="EV45" i="5"/>
  <c r="EV32" i="5"/>
  <c r="EV23" i="5"/>
  <c r="EV46" i="5"/>
  <c r="EV22" i="5"/>
  <c r="EV16" i="5"/>
  <c r="EV15" i="5"/>
  <c r="EV14" i="5"/>
  <c r="EV13" i="5"/>
  <c r="EV12" i="5"/>
  <c r="EV11" i="5"/>
  <c r="EV10" i="5"/>
  <c r="EV9" i="5"/>
  <c r="EV8" i="5"/>
  <c r="EV7" i="5"/>
  <c r="EV19" i="5" s="1"/>
  <c r="EV26" i="5"/>
  <c r="EV21" i="5"/>
  <c r="EV28" i="5"/>
  <c r="EV36" i="5"/>
  <c r="EW5" i="5"/>
  <c r="EV18" i="5"/>
  <c r="EV24" i="5"/>
  <c r="EU19" i="5"/>
  <c r="EV75" i="5" l="1"/>
  <c r="EW73" i="5"/>
  <c r="EW74" i="5"/>
  <c r="EW72" i="5"/>
  <c r="EW70" i="5"/>
  <c r="EW69" i="5"/>
  <c r="EW68" i="5"/>
  <c r="EW65" i="5"/>
  <c r="EW64" i="5"/>
  <c r="EW63" i="5"/>
  <c r="EW67" i="5"/>
  <c r="EW60" i="5"/>
  <c r="EW59" i="5"/>
  <c r="EW58" i="5"/>
  <c r="EW57" i="5"/>
  <c r="EW66" i="5"/>
  <c r="EW71" i="5"/>
  <c r="EW55" i="5"/>
  <c r="EW52" i="5"/>
  <c r="EW51" i="5"/>
  <c r="EW50" i="5"/>
  <c r="EW53" i="5"/>
  <c r="EW56" i="5"/>
  <c r="EW45" i="5"/>
  <c r="EW49" i="5"/>
  <c r="EW41" i="5"/>
  <c r="EW42" i="5"/>
  <c r="EW54" i="5"/>
  <c r="EW43" i="5"/>
  <c r="EW44" i="5"/>
  <c r="EW40" i="5"/>
  <c r="EW37" i="5"/>
  <c r="EW35" i="5"/>
  <c r="EW31" i="5"/>
  <c r="EW39" i="5"/>
  <c r="EW32" i="5"/>
  <c r="EW23" i="5"/>
  <c r="EW18" i="5"/>
  <c r="EW38" i="5"/>
  <c r="EW30" i="5"/>
  <c r="EW29" i="5"/>
  <c r="EW27" i="5"/>
  <c r="EW25" i="5"/>
  <c r="EW17" i="5"/>
  <c r="EW8" i="5"/>
  <c r="EW21" i="5"/>
  <c r="EW28" i="5"/>
  <c r="EW15" i="5"/>
  <c r="EW13" i="5"/>
  <c r="EW11" i="5"/>
  <c r="EW9" i="5"/>
  <c r="EW7" i="5"/>
  <c r="EW46" i="5"/>
  <c r="EW36" i="5"/>
  <c r="EW26" i="5"/>
  <c r="EW14" i="5"/>
  <c r="EW24" i="5"/>
  <c r="EW10" i="5"/>
  <c r="EW22" i="5"/>
  <c r="EW12" i="5"/>
  <c r="EX5" i="5"/>
  <c r="EW16" i="5"/>
  <c r="EV47" i="5"/>
  <c r="EV33" i="5"/>
  <c r="EV61" i="5"/>
  <c r="EX73" i="5" l="1"/>
  <c r="EX74" i="5"/>
  <c r="EX70" i="5"/>
  <c r="EX72" i="5"/>
  <c r="EX69" i="5"/>
  <c r="EX67" i="5"/>
  <c r="EX71" i="5"/>
  <c r="EX68" i="5"/>
  <c r="EX65" i="5"/>
  <c r="EX64" i="5"/>
  <c r="EX63" i="5"/>
  <c r="EX60" i="5"/>
  <c r="EX66" i="5"/>
  <c r="EX59" i="5"/>
  <c r="EX57" i="5"/>
  <c r="EX52" i="5"/>
  <c r="EX51" i="5"/>
  <c r="EX50" i="5"/>
  <c r="EX49" i="5"/>
  <c r="EX58" i="5"/>
  <c r="EX53" i="5"/>
  <c r="EX55" i="5"/>
  <c r="EX56" i="5"/>
  <c r="EX45" i="5"/>
  <c r="EX42" i="5"/>
  <c r="EX32" i="5"/>
  <c r="EX31" i="5"/>
  <c r="EX30" i="5"/>
  <c r="EX44" i="5"/>
  <c r="EX39" i="5"/>
  <c r="EX54" i="5"/>
  <c r="EX41" i="5"/>
  <c r="EX43" i="5"/>
  <c r="EX18" i="5"/>
  <c r="EX17" i="5"/>
  <c r="EX40" i="5"/>
  <c r="EX37" i="5"/>
  <c r="EX35" i="5"/>
  <c r="EX23" i="5"/>
  <c r="EX28" i="5"/>
  <c r="EX26" i="5"/>
  <c r="EX21" i="5"/>
  <c r="EX38" i="5"/>
  <c r="EX15" i="5"/>
  <c r="EX13" i="5"/>
  <c r="EX11" i="5"/>
  <c r="EX9" i="5"/>
  <c r="EX7" i="5"/>
  <c r="EX27" i="5"/>
  <c r="EY5" i="5"/>
  <c r="EX46" i="5"/>
  <c r="EX36" i="5"/>
  <c r="EX25" i="5"/>
  <c r="EX8" i="5"/>
  <c r="EX24" i="5"/>
  <c r="EX10" i="5"/>
  <c r="EX22" i="5"/>
  <c r="EX12" i="5"/>
  <c r="EX14" i="5"/>
  <c r="EX16" i="5"/>
  <c r="EX29" i="5"/>
  <c r="EW75" i="5"/>
  <c r="EW33" i="5"/>
  <c r="EW19" i="5"/>
  <c r="EW47" i="5"/>
  <c r="EW61" i="5"/>
  <c r="EX47" i="5" l="1"/>
  <c r="EX61" i="5"/>
  <c r="EX75" i="5"/>
  <c r="EY74" i="5"/>
  <c r="EY72" i="5"/>
  <c r="EY71" i="5"/>
  <c r="EY73" i="5"/>
  <c r="EY69" i="5"/>
  <c r="EY67" i="5"/>
  <c r="EY70" i="5"/>
  <c r="EY66" i="5"/>
  <c r="EY68" i="5"/>
  <c r="EY65" i="5"/>
  <c r="EY57" i="5"/>
  <c r="EY64" i="5"/>
  <c r="EY63" i="5"/>
  <c r="EY75" i="5" s="1"/>
  <c r="EY60" i="5"/>
  <c r="EY58" i="5"/>
  <c r="EY53" i="5"/>
  <c r="EY59" i="5"/>
  <c r="EY52" i="5"/>
  <c r="EY51" i="5"/>
  <c r="EY50" i="5"/>
  <c r="EY56" i="5"/>
  <c r="EY45" i="5"/>
  <c r="EY55" i="5"/>
  <c r="EY54" i="5"/>
  <c r="EY44" i="5"/>
  <c r="EY39" i="5"/>
  <c r="EY40" i="5"/>
  <c r="EY38" i="5"/>
  <c r="EY37" i="5"/>
  <c r="EY36" i="5"/>
  <c r="EY35" i="5"/>
  <c r="EY49" i="5"/>
  <c r="EY42" i="5"/>
  <c r="EY46" i="5"/>
  <c r="EY32" i="5"/>
  <c r="EY29" i="5"/>
  <c r="EY28" i="5"/>
  <c r="EY27" i="5"/>
  <c r="EY26" i="5"/>
  <c r="EY25" i="5"/>
  <c r="EY43" i="5"/>
  <c r="EY31" i="5"/>
  <c r="EY21" i="5"/>
  <c r="EY18" i="5"/>
  <c r="EY24" i="5"/>
  <c r="EY23" i="5"/>
  <c r="EY15" i="5"/>
  <c r="EY13" i="5"/>
  <c r="EY11" i="5"/>
  <c r="EY9" i="5"/>
  <c r="EY7" i="5"/>
  <c r="EZ5" i="5"/>
  <c r="EY22" i="5"/>
  <c r="EY30" i="5"/>
  <c r="EY41" i="5"/>
  <c r="EY8" i="5"/>
  <c r="EY12" i="5"/>
  <c r="EY16" i="5"/>
  <c r="EY17" i="5"/>
  <c r="EY14" i="5"/>
  <c r="EY10" i="5"/>
  <c r="EX33" i="5"/>
  <c r="EX19" i="5"/>
  <c r="EZ74" i="5" l="1"/>
  <c r="EZ72" i="5"/>
  <c r="EZ71" i="5"/>
  <c r="EZ73" i="5"/>
  <c r="EZ70" i="5"/>
  <c r="EZ66" i="5"/>
  <c r="EZ69" i="5"/>
  <c r="EZ67" i="5"/>
  <c r="EZ68" i="5"/>
  <c r="EZ65" i="5"/>
  <c r="EZ57" i="5"/>
  <c r="EZ59" i="5"/>
  <c r="EZ54" i="5"/>
  <c r="EZ64" i="5"/>
  <c r="EZ63" i="5"/>
  <c r="EZ75" i="5" s="1"/>
  <c r="EZ60" i="5"/>
  <c r="EZ58" i="5"/>
  <c r="EZ53" i="5"/>
  <c r="EZ55" i="5"/>
  <c r="EZ52" i="5"/>
  <c r="EZ50" i="5"/>
  <c r="EZ46" i="5"/>
  <c r="EZ44" i="5"/>
  <c r="EZ43" i="5"/>
  <c r="EZ42" i="5"/>
  <c r="EZ41" i="5"/>
  <c r="EZ56" i="5"/>
  <c r="EZ45" i="5"/>
  <c r="EZ39" i="5"/>
  <c r="EZ40" i="5"/>
  <c r="EZ38" i="5"/>
  <c r="EZ37" i="5"/>
  <c r="EZ36" i="5"/>
  <c r="EZ35" i="5"/>
  <c r="EZ51" i="5"/>
  <c r="EZ49" i="5"/>
  <c r="EZ32" i="5"/>
  <c r="EZ29" i="5"/>
  <c r="EZ28" i="5"/>
  <c r="EZ27" i="5"/>
  <c r="EZ26" i="5"/>
  <c r="EZ25" i="5"/>
  <c r="EZ31" i="5"/>
  <c r="EZ21" i="5"/>
  <c r="EZ18" i="5"/>
  <c r="EZ24" i="5"/>
  <c r="FA5" i="5"/>
  <c r="EZ22" i="5"/>
  <c r="EZ30" i="5"/>
  <c r="EZ15" i="5"/>
  <c r="EZ13" i="5"/>
  <c r="EZ11" i="5"/>
  <c r="EZ9" i="5"/>
  <c r="EZ7" i="5"/>
  <c r="EZ12" i="5"/>
  <c r="EZ10" i="5"/>
  <c r="EZ23" i="5"/>
  <c r="EZ17" i="5"/>
  <c r="EZ14" i="5"/>
  <c r="EZ16" i="5"/>
  <c r="EZ8" i="5"/>
  <c r="EY33" i="5"/>
  <c r="EY61" i="5"/>
  <c r="EY47" i="5"/>
  <c r="EY19" i="5"/>
  <c r="FA74" i="5" l="1"/>
  <c r="FA72" i="5"/>
  <c r="FA71" i="5"/>
  <c r="FA70" i="5"/>
  <c r="FA69" i="5"/>
  <c r="FA73" i="5"/>
  <c r="FA66" i="5"/>
  <c r="FA68" i="5"/>
  <c r="FA57" i="5"/>
  <c r="FA58" i="5"/>
  <c r="FA56" i="5"/>
  <c r="FA65" i="5"/>
  <c r="FA67" i="5"/>
  <c r="FA54" i="5"/>
  <c r="FA59" i="5"/>
  <c r="FA50" i="5"/>
  <c r="FA46" i="5"/>
  <c r="FA44" i="5"/>
  <c r="FA43" i="5"/>
  <c r="FA42" i="5"/>
  <c r="FA41" i="5"/>
  <c r="FA40" i="5"/>
  <c r="FA49" i="5"/>
  <c r="FA64" i="5"/>
  <c r="FA63" i="5"/>
  <c r="FA55" i="5"/>
  <c r="FA52" i="5"/>
  <c r="FA60" i="5"/>
  <c r="FA38" i="5"/>
  <c r="FA37" i="5"/>
  <c r="FA36" i="5"/>
  <c r="FA35" i="5"/>
  <c r="FA47" i="5" s="1"/>
  <c r="FA51" i="5"/>
  <c r="FA53" i="5"/>
  <c r="FA39" i="5"/>
  <c r="FA32" i="5"/>
  <c r="FA29" i="5"/>
  <c r="FA28" i="5"/>
  <c r="FA27" i="5"/>
  <c r="FA26" i="5"/>
  <c r="FA25" i="5"/>
  <c r="FA24" i="5"/>
  <c r="FA23" i="5"/>
  <c r="FA22" i="5"/>
  <c r="FA21" i="5"/>
  <c r="FA30" i="5"/>
  <c r="FA45" i="5"/>
  <c r="FA16" i="5"/>
  <c r="FA15" i="5"/>
  <c r="FA14" i="5"/>
  <c r="FA13" i="5"/>
  <c r="FA12" i="5"/>
  <c r="FA11" i="5"/>
  <c r="FA10" i="5"/>
  <c r="FA9" i="5"/>
  <c r="FA31" i="5"/>
  <c r="FA18" i="5"/>
  <c r="FB5" i="5"/>
  <c r="FA17" i="5"/>
  <c r="FA7" i="5"/>
  <c r="FA8" i="5"/>
  <c r="EZ61" i="5"/>
  <c r="EZ33" i="5"/>
  <c r="EZ47" i="5"/>
  <c r="EZ19" i="5"/>
  <c r="FA61" i="5" l="1"/>
  <c r="FA33" i="5"/>
  <c r="FA19" i="5"/>
  <c r="FB74" i="5"/>
  <c r="FB69" i="5"/>
  <c r="FB68" i="5"/>
  <c r="FB67" i="5"/>
  <c r="FB72" i="5"/>
  <c r="FB71" i="5"/>
  <c r="FB70" i="5"/>
  <c r="FB66" i="5"/>
  <c r="FB73" i="5"/>
  <c r="FB58" i="5"/>
  <c r="FB56" i="5"/>
  <c r="FB55" i="5"/>
  <c r="FB57" i="5"/>
  <c r="FB54" i="5"/>
  <c r="FB65" i="5"/>
  <c r="FB50" i="5"/>
  <c r="FB46" i="5"/>
  <c r="FB44" i="5"/>
  <c r="FB43" i="5"/>
  <c r="FB42" i="5"/>
  <c r="FB41" i="5"/>
  <c r="FB40" i="5"/>
  <c r="FB39" i="5"/>
  <c r="FB49" i="5"/>
  <c r="FB60" i="5"/>
  <c r="FB53" i="5"/>
  <c r="FB51" i="5"/>
  <c r="FB59" i="5"/>
  <c r="FB52" i="5"/>
  <c r="FB64" i="5"/>
  <c r="FB63" i="5"/>
  <c r="FB38" i="5"/>
  <c r="FB37" i="5"/>
  <c r="FB36" i="5"/>
  <c r="FB35" i="5"/>
  <c r="FB30" i="5"/>
  <c r="FB32" i="5"/>
  <c r="FB29" i="5"/>
  <c r="FB28" i="5"/>
  <c r="FB27" i="5"/>
  <c r="FB26" i="5"/>
  <c r="FB25" i="5"/>
  <c r="FB24" i="5"/>
  <c r="FC5" i="5"/>
  <c r="FB16" i="5"/>
  <c r="FB15" i="5"/>
  <c r="FB14" i="5"/>
  <c r="FB13" i="5"/>
  <c r="FB12" i="5"/>
  <c r="FB11" i="5"/>
  <c r="FB10" i="5"/>
  <c r="FB9" i="5"/>
  <c r="FB22" i="5"/>
  <c r="FB45" i="5"/>
  <c r="FB21" i="5"/>
  <c r="FB31" i="5"/>
  <c r="FB18" i="5"/>
  <c r="FB17" i="5"/>
  <c r="FB8" i="5"/>
  <c r="FB23" i="5"/>
  <c r="FB7" i="5"/>
  <c r="FB19" i="5" s="1"/>
  <c r="FA75" i="5"/>
  <c r="FB61" i="5" l="1"/>
  <c r="FC73" i="5"/>
  <c r="FC74" i="5"/>
  <c r="FC69" i="5"/>
  <c r="FC68" i="5"/>
  <c r="FC67" i="5"/>
  <c r="FC71" i="5"/>
  <c r="FC65" i="5"/>
  <c r="FC64" i="5"/>
  <c r="FC70" i="5"/>
  <c r="FC66" i="5"/>
  <c r="FC63" i="5"/>
  <c r="FC60" i="5"/>
  <c r="FC58" i="5"/>
  <c r="FC56" i="5"/>
  <c r="FC55" i="5"/>
  <c r="FC54" i="5"/>
  <c r="FC53" i="5"/>
  <c r="FC59" i="5"/>
  <c r="FC72" i="5"/>
  <c r="FC46" i="5"/>
  <c r="FC45" i="5"/>
  <c r="FC57" i="5"/>
  <c r="FC49" i="5"/>
  <c r="FC51" i="5"/>
  <c r="FC50" i="5"/>
  <c r="FC44" i="5"/>
  <c r="FC43" i="5"/>
  <c r="FC40" i="5"/>
  <c r="FC52" i="5"/>
  <c r="FC30" i="5"/>
  <c r="FC42" i="5"/>
  <c r="FC38" i="5"/>
  <c r="FC36" i="5"/>
  <c r="FC16" i="5"/>
  <c r="FC15" i="5"/>
  <c r="FC14" i="5"/>
  <c r="FC13" i="5"/>
  <c r="FC12" i="5"/>
  <c r="FC11" i="5"/>
  <c r="FC10" i="5"/>
  <c r="FC9" i="5"/>
  <c r="FC8" i="5"/>
  <c r="FC7" i="5"/>
  <c r="FC28" i="5"/>
  <c r="FC26" i="5"/>
  <c r="FC22" i="5"/>
  <c r="FC17" i="5"/>
  <c r="FC32" i="5"/>
  <c r="FC24" i="5"/>
  <c r="FD5" i="5"/>
  <c r="FC21" i="5"/>
  <c r="FC35" i="5"/>
  <c r="FC27" i="5"/>
  <c r="FC23" i="5"/>
  <c r="FC31" i="5"/>
  <c r="FC41" i="5"/>
  <c r="FC37" i="5"/>
  <c r="FC29" i="5"/>
  <c r="FC39" i="5"/>
  <c r="FC25" i="5"/>
  <c r="FC18" i="5"/>
  <c r="FB47" i="5"/>
  <c r="FB75" i="5"/>
  <c r="FB33" i="5"/>
  <c r="FC61" i="5" l="1"/>
  <c r="FC33" i="5"/>
  <c r="FC75" i="5"/>
  <c r="FD74" i="5"/>
  <c r="FD73" i="5"/>
  <c r="FD69" i="5"/>
  <c r="FD68" i="5"/>
  <c r="FD67" i="5"/>
  <c r="FD66" i="5"/>
  <c r="FD71" i="5"/>
  <c r="FD65" i="5"/>
  <c r="FD64" i="5"/>
  <c r="FD63" i="5"/>
  <c r="FD60" i="5"/>
  <c r="FD72" i="5"/>
  <c r="FD59" i="5"/>
  <c r="FD58" i="5"/>
  <c r="FD56" i="5"/>
  <c r="FD70" i="5"/>
  <c r="FD52" i="5"/>
  <c r="FD51" i="5"/>
  <c r="FD50" i="5"/>
  <c r="FD54" i="5"/>
  <c r="FD53" i="5"/>
  <c r="FD49" i="5"/>
  <c r="FD46" i="5"/>
  <c r="FD44" i="5"/>
  <c r="FD45" i="5"/>
  <c r="FD57" i="5"/>
  <c r="FD55" i="5"/>
  <c r="FD40" i="5"/>
  <c r="FD42" i="5"/>
  <c r="FD38" i="5"/>
  <c r="FD36" i="5"/>
  <c r="FD31" i="5"/>
  <c r="FD30" i="5"/>
  <c r="FD28" i="5"/>
  <c r="FD26" i="5"/>
  <c r="FD22" i="5"/>
  <c r="FD17" i="5"/>
  <c r="FD41" i="5"/>
  <c r="FD35" i="5"/>
  <c r="FD43" i="5"/>
  <c r="FD16" i="5"/>
  <c r="FD15" i="5"/>
  <c r="FD14" i="5"/>
  <c r="FD13" i="5"/>
  <c r="FD12" i="5"/>
  <c r="FD11" i="5"/>
  <c r="FD10" i="5"/>
  <c r="FD9" i="5"/>
  <c r="FD8" i="5"/>
  <c r="FD7" i="5"/>
  <c r="FD27" i="5"/>
  <c r="FD23" i="5"/>
  <c r="FD37" i="5"/>
  <c r="FD29" i="5"/>
  <c r="FD32" i="5"/>
  <c r="FD39" i="5"/>
  <c r="FD21" i="5"/>
  <c r="FE5" i="5"/>
  <c r="FD25" i="5"/>
  <c r="FD18" i="5"/>
  <c r="FD24" i="5"/>
  <c r="FC47" i="5"/>
  <c r="FC19" i="5"/>
  <c r="FD19" i="5" l="1"/>
  <c r="FD33" i="5"/>
  <c r="FE73" i="5"/>
  <c r="FE74" i="5"/>
  <c r="FE71" i="5"/>
  <c r="FE70" i="5"/>
  <c r="FE65" i="5"/>
  <c r="FE64" i="5"/>
  <c r="FE63" i="5"/>
  <c r="FE68" i="5"/>
  <c r="FE66" i="5"/>
  <c r="FE60" i="5"/>
  <c r="FE59" i="5"/>
  <c r="FE58" i="5"/>
  <c r="FE57" i="5"/>
  <c r="FE72" i="5"/>
  <c r="FE69" i="5"/>
  <c r="FE67" i="5"/>
  <c r="FE52" i="5"/>
  <c r="FE51" i="5"/>
  <c r="FE50" i="5"/>
  <c r="FE55" i="5"/>
  <c r="FE53" i="5"/>
  <c r="FE54" i="5"/>
  <c r="FE45" i="5"/>
  <c r="FE46" i="5"/>
  <c r="FE49" i="5"/>
  <c r="FE56" i="5"/>
  <c r="FE44" i="5"/>
  <c r="FE38" i="5"/>
  <c r="FE36" i="5"/>
  <c r="FE31" i="5"/>
  <c r="FE42" i="5"/>
  <c r="FE17" i="5"/>
  <c r="FE41" i="5"/>
  <c r="FE40" i="5"/>
  <c r="FE35" i="5"/>
  <c r="FE23" i="5"/>
  <c r="FE28" i="5"/>
  <c r="FE26" i="5"/>
  <c r="FE22" i="5"/>
  <c r="FE43" i="5"/>
  <c r="FE37" i="5"/>
  <c r="FE30" i="5"/>
  <c r="FE29" i="5"/>
  <c r="FE24" i="5"/>
  <c r="FE18" i="5"/>
  <c r="FE16" i="5"/>
  <c r="FE14" i="5"/>
  <c r="FE12" i="5"/>
  <c r="FE10" i="5"/>
  <c r="FE8" i="5"/>
  <c r="FE32" i="5"/>
  <c r="FE39" i="5"/>
  <c r="FE25" i="5"/>
  <c r="FE27" i="5"/>
  <c r="FE7" i="5"/>
  <c r="FE21" i="5"/>
  <c r="FE11" i="5"/>
  <c r="FF5" i="5"/>
  <c r="FE15" i="5"/>
  <c r="FE13" i="5"/>
  <c r="FE9" i="5"/>
  <c r="FD47" i="5"/>
  <c r="FD75" i="5"/>
  <c r="FD61" i="5"/>
  <c r="FE61" i="5" l="1"/>
  <c r="FF73" i="5"/>
  <c r="FF71" i="5"/>
  <c r="FF70" i="5"/>
  <c r="FF72" i="5"/>
  <c r="FF74" i="5"/>
  <c r="FF68" i="5"/>
  <c r="FF66" i="5"/>
  <c r="FF60" i="5"/>
  <c r="FF63" i="5"/>
  <c r="FF69" i="5"/>
  <c r="FF67" i="5"/>
  <c r="FF65" i="5"/>
  <c r="FF64" i="5"/>
  <c r="FF59" i="5"/>
  <c r="FF52" i="5"/>
  <c r="FF51" i="5"/>
  <c r="FF50" i="5"/>
  <c r="FF49" i="5"/>
  <c r="FF55" i="5"/>
  <c r="FF56" i="5"/>
  <c r="FF53" i="5"/>
  <c r="FF54" i="5"/>
  <c r="FF45" i="5"/>
  <c r="FF32" i="5"/>
  <c r="FF31" i="5"/>
  <c r="FF30" i="5"/>
  <c r="FF46" i="5"/>
  <c r="FF57" i="5"/>
  <c r="FF43" i="5"/>
  <c r="FF41" i="5"/>
  <c r="FF58" i="5"/>
  <c r="FF18" i="5"/>
  <c r="FF17" i="5"/>
  <c r="FF44" i="5"/>
  <c r="FF38" i="5"/>
  <c r="FF36" i="5"/>
  <c r="FF40" i="5"/>
  <c r="FF35" i="5"/>
  <c r="FF23" i="5"/>
  <c r="FF39" i="5"/>
  <c r="FF29" i="5"/>
  <c r="FF27" i="5"/>
  <c r="FF25" i="5"/>
  <c r="FF42" i="5"/>
  <c r="FF22" i="5"/>
  <c r="FF37" i="5"/>
  <c r="FF28" i="5"/>
  <c r="FF24" i="5"/>
  <c r="FF16" i="5"/>
  <c r="FF14" i="5"/>
  <c r="FF12" i="5"/>
  <c r="FF10" i="5"/>
  <c r="FF8" i="5"/>
  <c r="FF21" i="5"/>
  <c r="FF11" i="5"/>
  <c r="FG5" i="5"/>
  <c r="FF13" i="5"/>
  <c r="FF9" i="5"/>
  <c r="FF26" i="5"/>
  <c r="FF15" i="5"/>
  <c r="FF7" i="5"/>
  <c r="FE33" i="5"/>
  <c r="FE47" i="5"/>
  <c r="FE19" i="5"/>
  <c r="FE75" i="5"/>
  <c r="FF47" i="5" l="1"/>
  <c r="FF19" i="5"/>
  <c r="FF61" i="5"/>
  <c r="FF33" i="5"/>
  <c r="FF75" i="5"/>
  <c r="FG73" i="5"/>
  <c r="FG72" i="5"/>
  <c r="FG71" i="5"/>
  <c r="FG70" i="5"/>
  <c r="FG74" i="5"/>
  <c r="FG68" i="5"/>
  <c r="FG63" i="5"/>
  <c r="FG69" i="5"/>
  <c r="FG67" i="5"/>
  <c r="FG65" i="5"/>
  <c r="FG64" i="5"/>
  <c r="FG66" i="5"/>
  <c r="FG60" i="5"/>
  <c r="FG59" i="5"/>
  <c r="FG55" i="5"/>
  <c r="FG56" i="5"/>
  <c r="FG53" i="5"/>
  <c r="FG52" i="5"/>
  <c r="FG51" i="5"/>
  <c r="FG50" i="5"/>
  <c r="FG45" i="5"/>
  <c r="FG57" i="5"/>
  <c r="FG54" i="5"/>
  <c r="FG46" i="5"/>
  <c r="FG43" i="5"/>
  <c r="FG41" i="5"/>
  <c r="FG58" i="5"/>
  <c r="FG42" i="5"/>
  <c r="FG39" i="5"/>
  <c r="FG38" i="5"/>
  <c r="FG37" i="5"/>
  <c r="FG36" i="5"/>
  <c r="FG35" i="5"/>
  <c r="FG31" i="5"/>
  <c r="FG49" i="5"/>
  <c r="FG61" i="5" s="1"/>
  <c r="FG29" i="5"/>
  <c r="FG28" i="5"/>
  <c r="FG27" i="5"/>
  <c r="FG26" i="5"/>
  <c r="FG25" i="5"/>
  <c r="FG23" i="5"/>
  <c r="FG44" i="5"/>
  <c r="FG21" i="5"/>
  <c r="FG33" i="5" s="1"/>
  <c r="FG18" i="5"/>
  <c r="FG40" i="5"/>
  <c r="FG17" i="5"/>
  <c r="FG24" i="5"/>
  <c r="FG16" i="5"/>
  <c r="FG14" i="5"/>
  <c r="FG12" i="5"/>
  <c r="FG10" i="5"/>
  <c r="FG8" i="5"/>
  <c r="FG30" i="5"/>
  <c r="FG32" i="5"/>
  <c r="FG7" i="5"/>
  <c r="FG22" i="5"/>
  <c r="FG13" i="5"/>
  <c r="FG9" i="5"/>
  <c r="FG15" i="5"/>
  <c r="FG11" i="5"/>
  <c r="FH5" i="5"/>
  <c r="FG47" i="5" l="1"/>
  <c r="FG19" i="5"/>
  <c r="FG75" i="5"/>
  <c r="FH74" i="5"/>
  <c r="FH72" i="5"/>
  <c r="FH71" i="5"/>
  <c r="FH73" i="5"/>
  <c r="FH68" i="5"/>
  <c r="FH67" i="5"/>
  <c r="FH69" i="5"/>
  <c r="FH65" i="5"/>
  <c r="FH64" i="5"/>
  <c r="FH60" i="5"/>
  <c r="FH63" i="5"/>
  <c r="FH57" i="5"/>
  <c r="FH66" i="5"/>
  <c r="FH56" i="5"/>
  <c r="FH53" i="5"/>
  <c r="FH70" i="5"/>
  <c r="FH55" i="5"/>
  <c r="FH45" i="5"/>
  <c r="FH51" i="5"/>
  <c r="FH59" i="5"/>
  <c r="FH58" i="5"/>
  <c r="FH44" i="5"/>
  <c r="FH43" i="5"/>
  <c r="FH42" i="5"/>
  <c r="FH41" i="5"/>
  <c r="FH52" i="5"/>
  <c r="FH50" i="5"/>
  <c r="FH39" i="5"/>
  <c r="FH38" i="5"/>
  <c r="FH37" i="5"/>
  <c r="FH36" i="5"/>
  <c r="FH35" i="5"/>
  <c r="FH49" i="5"/>
  <c r="FH54" i="5"/>
  <c r="FH46" i="5"/>
  <c r="FH29" i="5"/>
  <c r="FH28" i="5"/>
  <c r="FH27" i="5"/>
  <c r="FH26" i="5"/>
  <c r="FH25" i="5"/>
  <c r="FH32" i="5"/>
  <c r="FH31" i="5"/>
  <c r="FH21" i="5"/>
  <c r="FH18" i="5"/>
  <c r="FH30" i="5"/>
  <c r="FH24" i="5"/>
  <c r="FH23" i="5"/>
  <c r="FH7" i="5"/>
  <c r="FH17" i="5"/>
  <c r="FI5" i="5"/>
  <c r="FH40" i="5"/>
  <c r="FH16" i="5"/>
  <c r="FH14" i="5"/>
  <c r="FH12" i="5"/>
  <c r="FH10" i="5"/>
  <c r="FH8" i="5"/>
  <c r="FH13" i="5"/>
  <c r="FH22" i="5"/>
  <c r="FH9" i="5"/>
  <c r="FH15" i="5"/>
  <c r="FH11" i="5"/>
  <c r="FH75" i="5" l="1"/>
  <c r="FH47" i="5"/>
  <c r="FH33" i="5"/>
  <c r="FH19" i="5"/>
  <c r="FI74" i="5"/>
  <c r="FI72" i="5"/>
  <c r="FI71" i="5"/>
  <c r="FI70" i="5"/>
  <c r="FI69" i="5"/>
  <c r="FI73" i="5"/>
  <c r="FI68" i="5"/>
  <c r="FI67" i="5"/>
  <c r="FI66" i="5"/>
  <c r="FI65" i="5"/>
  <c r="FI64" i="5"/>
  <c r="FI60" i="5"/>
  <c r="FI63" i="5"/>
  <c r="FI57" i="5"/>
  <c r="FI56" i="5"/>
  <c r="FI54" i="5"/>
  <c r="FI53" i="5"/>
  <c r="FI51" i="5"/>
  <c r="FI59" i="5"/>
  <c r="FI58" i="5"/>
  <c r="FI44" i="5"/>
  <c r="FI43" i="5"/>
  <c r="FI42" i="5"/>
  <c r="FI41" i="5"/>
  <c r="FI40" i="5"/>
  <c r="FI46" i="5"/>
  <c r="FI45" i="5"/>
  <c r="FI52" i="5"/>
  <c r="FI50" i="5"/>
  <c r="FI39" i="5"/>
  <c r="FI38" i="5"/>
  <c r="FI37" i="5"/>
  <c r="FI36" i="5"/>
  <c r="FI35" i="5"/>
  <c r="FI49" i="5"/>
  <c r="FI61" i="5" s="1"/>
  <c r="FI55" i="5"/>
  <c r="FI29" i="5"/>
  <c r="FI28" i="5"/>
  <c r="FI27" i="5"/>
  <c r="FI26" i="5"/>
  <c r="FI25" i="5"/>
  <c r="FI24" i="5"/>
  <c r="FI23" i="5"/>
  <c r="FI22" i="5"/>
  <c r="FI21" i="5"/>
  <c r="FI32" i="5"/>
  <c r="FI18" i="5"/>
  <c r="FI30" i="5"/>
  <c r="FI16" i="5"/>
  <c r="FI15" i="5"/>
  <c r="FI14" i="5"/>
  <c r="FI13" i="5"/>
  <c r="FI12" i="5"/>
  <c r="FI11" i="5"/>
  <c r="FI10" i="5"/>
  <c r="FI9" i="5"/>
  <c r="FI7" i="5"/>
  <c r="FI17" i="5"/>
  <c r="FJ5" i="5"/>
  <c r="FI31" i="5"/>
  <c r="FI8" i="5"/>
  <c r="FH61" i="5"/>
  <c r="FI47" i="5" l="1"/>
  <c r="FI19" i="5"/>
  <c r="FJ74" i="5"/>
  <c r="FJ71" i="5"/>
  <c r="FJ72" i="5"/>
  <c r="FJ68" i="5"/>
  <c r="FJ67" i="5"/>
  <c r="FJ73" i="5"/>
  <c r="FJ69" i="5"/>
  <c r="FJ66" i="5"/>
  <c r="FJ63" i="5"/>
  <c r="FJ57" i="5"/>
  <c r="FJ56" i="5"/>
  <c r="FJ55" i="5"/>
  <c r="FJ70" i="5"/>
  <c r="FJ64" i="5"/>
  <c r="FJ58" i="5"/>
  <c r="FJ60" i="5"/>
  <c r="FJ65" i="5"/>
  <c r="FJ54" i="5"/>
  <c r="FJ59" i="5"/>
  <c r="FJ44" i="5"/>
  <c r="FJ43" i="5"/>
  <c r="FJ42" i="5"/>
  <c r="FJ41" i="5"/>
  <c r="FJ40" i="5"/>
  <c r="FJ39" i="5"/>
  <c r="FJ46" i="5"/>
  <c r="FJ52" i="5"/>
  <c r="FJ49" i="5"/>
  <c r="FJ53" i="5"/>
  <c r="FJ51" i="5"/>
  <c r="FJ45" i="5"/>
  <c r="FJ50" i="5"/>
  <c r="FJ38" i="5"/>
  <c r="FJ37" i="5"/>
  <c r="FJ36" i="5"/>
  <c r="FJ35" i="5"/>
  <c r="FJ32" i="5"/>
  <c r="FJ30" i="5"/>
  <c r="FJ29" i="5"/>
  <c r="FJ28" i="5"/>
  <c r="FJ27" i="5"/>
  <c r="FJ26" i="5"/>
  <c r="FJ25" i="5"/>
  <c r="FJ21" i="5"/>
  <c r="FK5" i="5"/>
  <c r="FJ24" i="5"/>
  <c r="FJ16" i="5"/>
  <c r="FJ15" i="5"/>
  <c r="FJ14" i="5"/>
  <c r="FJ13" i="5"/>
  <c r="FJ12" i="5"/>
  <c r="FJ11" i="5"/>
  <c r="FJ10" i="5"/>
  <c r="FJ9" i="5"/>
  <c r="FJ18" i="5"/>
  <c r="FJ23" i="5"/>
  <c r="FJ17" i="5"/>
  <c r="FJ31" i="5"/>
  <c r="FJ7" i="5"/>
  <c r="FJ22" i="5"/>
  <c r="FJ8" i="5"/>
  <c r="FI33" i="5"/>
  <c r="FI75" i="5"/>
  <c r="FJ33" i="5" l="1"/>
  <c r="FJ19" i="5"/>
  <c r="FJ75" i="5"/>
  <c r="FK73" i="5"/>
  <c r="FK72" i="5"/>
  <c r="FK68" i="5"/>
  <c r="FK67" i="5"/>
  <c r="FK69" i="5"/>
  <c r="FK74" i="5"/>
  <c r="FK71" i="5"/>
  <c r="FK66" i="5"/>
  <c r="FK65" i="5"/>
  <c r="FK64" i="5"/>
  <c r="FK60" i="5"/>
  <c r="FK56" i="5"/>
  <c r="FK55" i="5"/>
  <c r="FK54" i="5"/>
  <c r="FK53" i="5"/>
  <c r="FK70" i="5"/>
  <c r="FK58" i="5"/>
  <c r="FK63" i="5"/>
  <c r="FK57" i="5"/>
  <c r="FK46" i="5"/>
  <c r="FK45" i="5"/>
  <c r="FK59" i="5"/>
  <c r="FK52" i="5"/>
  <c r="FK49" i="5"/>
  <c r="FK44" i="5"/>
  <c r="FK43" i="5"/>
  <c r="FK41" i="5"/>
  <c r="FK42" i="5"/>
  <c r="FK40" i="5"/>
  <c r="FK50" i="5"/>
  <c r="FK51" i="5"/>
  <c r="FK39" i="5"/>
  <c r="FK30" i="5"/>
  <c r="FK37" i="5"/>
  <c r="FK35" i="5"/>
  <c r="FK32" i="5"/>
  <c r="FK24" i="5"/>
  <c r="FK16" i="5"/>
  <c r="FK15" i="5"/>
  <c r="FK14" i="5"/>
  <c r="FK13" i="5"/>
  <c r="FK12" i="5"/>
  <c r="FK11" i="5"/>
  <c r="FK10" i="5"/>
  <c r="FK9" i="5"/>
  <c r="FK8" i="5"/>
  <c r="FK7" i="5"/>
  <c r="FK29" i="5"/>
  <c r="FK27" i="5"/>
  <c r="FK25" i="5"/>
  <c r="FK36" i="5"/>
  <c r="FK31" i="5"/>
  <c r="FK22" i="5"/>
  <c r="FK21" i="5"/>
  <c r="FL5" i="5"/>
  <c r="FK28" i="5"/>
  <c r="FK18" i="5"/>
  <c r="FK38" i="5"/>
  <c r="FK23" i="5"/>
  <c r="FK17" i="5"/>
  <c r="FK26" i="5"/>
  <c r="FJ47" i="5"/>
  <c r="FJ61" i="5"/>
  <c r="FK47" i="5" l="1"/>
  <c r="FK61" i="5"/>
  <c r="FK75" i="5"/>
  <c r="FL74" i="5"/>
  <c r="FL68" i="5"/>
  <c r="FL67" i="5"/>
  <c r="FL66" i="5"/>
  <c r="FL69" i="5"/>
  <c r="FL73" i="5"/>
  <c r="FL71" i="5"/>
  <c r="FL72" i="5"/>
  <c r="FL65" i="5"/>
  <c r="FL64" i="5"/>
  <c r="FL63" i="5"/>
  <c r="FL70" i="5"/>
  <c r="FL60" i="5"/>
  <c r="FL58" i="5"/>
  <c r="FL59" i="5"/>
  <c r="FL56" i="5"/>
  <c r="FL54" i="5"/>
  <c r="FL52" i="5"/>
  <c r="FL51" i="5"/>
  <c r="FL50" i="5"/>
  <c r="FL49" i="5"/>
  <c r="FL46" i="5"/>
  <c r="FL57" i="5"/>
  <c r="FL43" i="5"/>
  <c r="FL42" i="5"/>
  <c r="FL40" i="5"/>
  <c r="FL55" i="5"/>
  <c r="FL53" i="5"/>
  <c r="FL45" i="5"/>
  <c r="FL41" i="5"/>
  <c r="FL30" i="5"/>
  <c r="FL37" i="5"/>
  <c r="FL35" i="5"/>
  <c r="FL39" i="5"/>
  <c r="FL29" i="5"/>
  <c r="FL27" i="5"/>
  <c r="FL25" i="5"/>
  <c r="FL44" i="5"/>
  <c r="FL36" i="5"/>
  <c r="FL31" i="5"/>
  <c r="FL22" i="5"/>
  <c r="FL17" i="5"/>
  <c r="FL24" i="5"/>
  <c r="FL16" i="5"/>
  <c r="FL15" i="5"/>
  <c r="FL14" i="5"/>
  <c r="FL13" i="5"/>
  <c r="FL12" i="5"/>
  <c r="FL11" i="5"/>
  <c r="FL10" i="5"/>
  <c r="FL9" i="5"/>
  <c r="FL8" i="5"/>
  <c r="FL7" i="5"/>
  <c r="FL19" i="5" s="1"/>
  <c r="FL18" i="5"/>
  <c r="FM5" i="5"/>
  <c r="FL32" i="5"/>
  <c r="FL26" i="5"/>
  <c r="FL38" i="5"/>
  <c r="FL28" i="5"/>
  <c r="FL23" i="5"/>
  <c r="FL21" i="5"/>
  <c r="FL33" i="5" s="1"/>
  <c r="FK19" i="5"/>
  <c r="FK33" i="5"/>
  <c r="FL61" i="5" l="1"/>
  <c r="FL75" i="5"/>
  <c r="FL47" i="5"/>
  <c r="FM74" i="5"/>
  <c r="FM73" i="5"/>
  <c r="FM69" i="5"/>
  <c r="FM70" i="5"/>
  <c r="FM67" i="5"/>
  <c r="FM65" i="5"/>
  <c r="FM64" i="5"/>
  <c r="FM63" i="5"/>
  <c r="FM72" i="5"/>
  <c r="FM71" i="5"/>
  <c r="FM68" i="5"/>
  <c r="FM66" i="5"/>
  <c r="FM60" i="5"/>
  <c r="FM59" i="5"/>
  <c r="FM58" i="5"/>
  <c r="FM57" i="5"/>
  <c r="FM52" i="5"/>
  <c r="FM51" i="5"/>
  <c r="FM50" i="5"/>
  <c r="FM56" i="5"/>
  <c r="FM54" i="5"/>
  <c r="FM49" i="5"/>
  <c r="FM46" i="5"/>
  <c r="FM40" i="5"/>
  <c r="FM55" i="5"/>
  <c r="FM53" i="5"/>
  <c r="FM43" i="5"/>
  <c r="FM42" i="5"/>
  <c r="FM37" i="5"/>
  <c r="FM35" i="5"/>
  <c r="FM39" i="5"/>
  <c r="FM41" i="5"/>
  <c r="FM31" i="5"/>
  <c r="FM30" i="5"/>
  <c r="FM44" i="5"/>
  <c r="FM36" i="5"/>
  <c r="FM22" i="5"/>
  <c r="FM17" i="5"/>
  <c r="FM32" i="5"/>
  <c r="FM29" i="5"/>
  <c r="FM27" i="5"/>
  <c r="FM25" i="5"/>
  <c r="FM15" i="5"/>
  <c r="FM13" i="5"/>
  <c r="FM11" i="5"/>
  <c r="FM9" i="5"/>
  <c r="FM26" i="5"/>
  <c r="FM45" i="5"/>
  <c r="FM38" i="5"/>
  <c r="FM24" i="5"/>
  <c r="FM18" i="5"/>
  <c r="FN5" i="5"/>
  <c r="FM10" i="5"/>
  <c r="FM14" i="5"/>
  <c r="FM8" i="5"/>
  <c r="FM7" i="5"/>
  <c r="FM16" i="5"/>
  <c r="FM28" i="5"/>
  <c r="FM21" i="5"/>
  <c r="FM23" i="5"/>
  <c r="FM12" i="5"/>
  <c r="FN74" i="5" l="1"/>
  <c r="FN73" i="5"/>
  <c r="FN70" i="5"/>
  <c r="FN72" i="5"/>
  <c r="FN69" i="5"/>
  <c r="FN67" i="5"/>
  <c r="FN60" i="5"/>
  <c r="FN63" i="5"/>
  <c r="FN75" i="5" s="1"/>
  <c r="FN71" i="5"/>
  <c r="FN68" i="5"/>
  <c r="FN64" i="5"/>
  <c r="FN59" i="5"/>
  <c r="FN58" i="5"/>
  <c r="FN65" i="5"/>
  <c r="FN52" i="5"/>
  <c r="FN51" i="5"/>
  <c r="FN50" i="5"/>
  <c r="FN49" i="5"/>
  <c r="FN57" i="5"/>
  <c r="FN55" i="5"/>
  <c r="FN32" i="5"/>
  <c r="FN31" i="5"/>
  <c r="FN30" i="5"/>
  <c r="FN29" i="5"/>
  <c r="FN44" i="5"/>
  <c r="FN54" i="5"/>
  <c r="FN53" i="5"/>
  <c r="FN56" i="5"/>
  <c r="FN66" i="5"/>
  <c r="FN40" i="5"/>
  <c r="FN39" i="5"/>
  <c r="FN18" i="5"/>
  <c r="FN17" i="5"/>
  <c r="FN46" i="5"/>
  <c r="FN41" i="5"/>
  <c r="FN45" i="5"/>
  <c r="FN37" i="5"/>
  <c r="FN35" i="5"/>
  <c r="FN38" i="5"/>
  <c r="FN28" i="5"/>
  <c r="FN26" i="5"/>
  <c r="FN23" i="5"/>
  <c r="FN36" i="5"/>
  <c r="FN22" i="5"/>
  <c r="FN43" i="5"/>
  <c r="FN15" i="5"/>
  <c r="FN13" i="5"/>
  <c r="FN11" i="5"/>
  <c r="FN9" i="5"/>
  <c r="FN42" i="5"/>
  <c r="FN21" i="5"/>
  <c r="FN14" i="5"/>
  <c r="FN8" i="5"/>
  <c r="FN7" i="5"/>
  <c r="FN16" i="5"/>
  <c r="FN10" i="5"/>
  <c r="FN12" i="5"/>
  <c r="FO5" i="5"/>
  <c r="FN25" i="5"/>
  <c r="FN27" i="5"/>
  <c r="FN24" i="5"/>
  <c r="FM75" i="5"/>
  <c r="FM33" i="5"/>
  <c r="FM19" i="5"/>
  <c r="FM47" i="5"/>
  <c r="FM61" i="5"/>
  <c r="FN47" i="5" l="1"/>
  <c r="FO74" i="5"/>
  <c r="FO73" i="5"/>
  <c r="FO72" i="5"/>
  <c r="FO71" i="5"/>
  <c r="FO70" i="5"/>
  <c r="FO69" i="5"/>
  <c r="FO67" i="5"/>
  <c r="FO63" i="5"/>
  <c r="FO68" i="5"/>
  <c r="FO64" i="5"/>
  <c r="FO59" i="5"/>
  <c r="FO57" i="5"/>
  <c r="FO58" i="5"/>
  <c r="FO55" i="5"/>
  <c r="FO53" i="5"/>
  <c r="FO65" i="5"/>
  <c r="FO52" i="5"/>
  <c r="FO51" i="5"/>
  <c r="FO50" i="5"/>
  <c r="FO60" i="5"/>
  <c r="FO45" i="5"/>
  <c r="FO49" i="5"/>
  <c r="FO44" i="5"/>
  <c r="FO54" i="5"/>
  <c r="FO38" i="5"/>
  <c r="FO37" i="5"/>
  <c r="FO36" i="5"/>
  <c r="FO35" i="5"/>
  <c r="FO56" i="5"/>
  <c r="FO66" i="5"/>
  <c r="FO46" i="5"/>
  <c r="FO41" i="5"/>
  <c r="FO31" i="5"/>
  <c r="FO40" i="5"/>
  <c r="FO28" i="5"/>
  <c r="FO27" i="5"/>
  <c r="FO26" i="5"/>
  <c r="FO25" i="5"/>
  <c r="FO39" i="5"/>
  <c r="FO30" i="5"/>
  <c r="FO17" i="5"/>
  <c r="FO32" i="5"/>
  <c r="FO23" i="5"/>
  <c r="FO43" i="5"/>
  <c r="FO15" i="5"/>
  <c r="FO13" i="5"/>
  <c r="FO11" i="5"/>
  <c r="FO9" i="5"/>
  <c r="FO42" i="5"/>
  <c r="FO29" i="5"/>
  <c r="FO21" i="5"/>
  <c r="FO8" i="5"/>
  <c r="FO16" i="5"/>
  <c r="FO24" i="5"/>
  <c r="FO18" i="5"/>
  <c r="FO10" i="5"/>
  <c r="FO7" i="5"/>
  <c r="FO12" i="5"/>
  <c r="FP5" i="5"/>
  <c r="FO22" i="5"/>
  <c r="FO14" i="5"/>
  <c r="FN61" i="5"/>
  <c r="FN19" i="5"/>
  <c r="FN33" i="5"/>
  <c r="FO47" i="5" l="1"/>
  <c r="FP74" i="5"/>
  <c r="FP73" i="5"/>
  <c r="FP72" i="5"/>
  <c r="FP71" i="5"/>
  <c r="FP70" i="5"/>
  <c r="FP69" i="5"/>
  <c r="FP67" i="5"/>
  <c r="FP63" i="5"/>
  <c r="FP66" i="5"/>
  <c r="FP65" i="5"/>
  <c r="FP68" i="5"/>
  <c r="FP64" i="5"/>
  <c r="FP59" i="5"/>
  <c r="FP57" i="5"/>
  <c r="FP58" i="5"/>
  <c r="FP55" i="5"/>
  <c r="FP53" i="5"/>
  <c r="FP60" i="5"/>
  <c r="FP52" i="5"/>
  <c r="FP45" i="5"/>
  <c r="FP50" i="5"/>
  <c r="FP44" i="5"/>
  <c r="FP43" i="5"/>
  <c r="FP42" i="5"/>
  <c r="FP41" i="5"/>
  <c r="FP49" i="5"/>
  <c r="FP54" i="5"/>
  <c r="FP38" i="5"/>
  <c r="FP37" i="5"/>
  <c r="FP36" i="5"/>
  <c r="FP35" i="5"/>
  <c r="FP47" i="5" s="1"/>
  <c r="FP39" i="5"/>
  <c r="FP56" i="5"/>
  <c r="FP51" i="5"/>
  <c r="FP31" i="5"/>
  <c r="FP40" i="5"/>
  <c r="FP28" i="5"/>
  <c r="FP27" i="5"/>
  <c r="FP26" i="5"/>
  <c r="FP25" i="5"/>
  <c r="FP29" i="5"/>
  <c r="FP46" i="5"/>
  <c r="FP32" i="5"/>
  <c r="FP23" i="5"/>
  <c r="FP21" i="5"/>
  <c r="FP18" i="5"/>
  <c r="FP30" i="5"/>
  <c r="FP17" i="5"/>
  <c r="FP8" i="5"/>
  <c r="FP15" i="5"/>
  <c r="FP13" i="5"/>
  <c r="FP11" i="5"/>
  <c r="FP9" i="5"/>
  <c r="FP16" i="5"/>
  <c r="FP12" i="5"/>
  <c r="FQ5" i="5"/>
  <c r="FP10" i="5"/>
  <c r="FP7" i="5"/>
  <c r="FP24" i="5"/>
  <c r="FP22" i="5"/>
  <c r="FP14" i="5"/>
  <c r="FO61" i="5"/>
  <c r="FO33" i="5"/>
  <c r="FO19" i="5"/>
  <c r="FO75" i="5"/>
  <c r="FP19" i="5" l="1"/>
  <c r="FP61" i="5"/>
  <c r="FP33" i="5"/>
  <c r="FQ74" i="5"/>
  <c r="FQ72" i="5"/>
  <c r="FQ71" i="5"/>
  <c r="FQ70" i="5"/>
  <c r="FQ69" i="5"/>
  <c r="FQ73" i="5"/>
  <c r="FQ68" i="5"/>
  <c r="FQ63" i="5"/>
  <c r="FQ66" i="5"/>
  <c r="FQ65" i="5"/>
  <c r="FQ64" i="5"/>
  <c r="FQ57" i="5"/>
  <c r="FQ56" i="5"/>
  <c r="FQ58" i="5"/>
  <c r="FQ55" i="5"/>
  <c r="FQ53" i="5"/>
  <c r="FQ59" i="5"/>
  <c r="FQ60" i="5"/>
  <c r="FQ67" i="5"/>
  <c r="FQ45" i="5"/>
  <c r="FQ50" i="5"/>
  <c r="FQ44" i="5"/>
  <c r="FQ43" i="5"/>
  <c r="FQ42" i="5"/>
  <c r="FQ41" i="5"/>
  <c r="FQ40" i="5"/>
  <c r="FQ54" i="5"/>
  <c r="FQ52" i="5"/>
  <c r="FQ38" i="5"/>
  <c r="FQ37" i="5"/>
  <c r="FQ36" i="5"/>
  <c r="FQ35" i="5"/>
  <c r="FQ39" i="5"/>
  <c r="FQ51" i="5"/>
  <c r="FQ49" i="5"/>
  <c r="FQ28" i="5"/>
  <c r="FQ27" i="5"/>
  <c r="FQ26" i="5"/>
  <c r="FQ25" i="5"/>
  <c r="FQ24" i="5"/>
  <c r="FQ23" i="5"/>
  <c r="FQ22" i="5"/>
  <c r="FQ21" i="5"/>
  <c r="FQ29" i="5"/>
  <c r="FQ32" i="5"/>
  <c r="FQ31" i="5"/>
  <c r="FQ18" i="5"/>
  <c r="FQ16" i="5"/>
  <c r="FQ15" i="5"/>
  <c r="FQ14" i="5"/>
  <c r="FQ13" i="5"/>
  <c r="FQ12" i="5"/>
  <c r="FQ11" i="5"/>
  <c r="FQ10" i="5"/>
  <c r="FQ9" i="5"/>
  <c r="FQ30" i="5"/>
  <c r="FQ8" i="5"/>
  <c r="FQ7" i="5"/>
  <c r="FQ46" i="5"/>
  <c r="FR5" i="5"/>
  <c r="FQ17" i="5"/>
  <c r="FP75" i="5"/>
  <c r="FQ61" i="5" l="1"/>
  <c r="FQ47" i="5"/>
  <c r="FQ75" i="5"/>
  <c r="FR74" i="5"/>
  <c r="FR73" i="5"/>
  <c r="FR68" i="5"/>
  <c r="FR67" i="5"/>
  <c r="FR72" i="5"/>
  <c r="FR70" i="5"/>
  <c r="FR66" i="5"/>
  <c r="FR69" i="5"/>
  <c r="FR65" i="5"/>
  <c r="FR64" i="5"/>
  <c r="FR71" i="5"/>
  <c r="FR57" i="5"/>
  <c r="FR56" i="5"/>
  <c r="FR55" i="5"/>
  <c r="FR59" i="5"/>
  <c r="FR60" i="5"/>
  <c r="FR54" i="5"/>
  <c r="FR58" i="5"/>
  <c r="FR53" i="5"/>
  <c r="FR50" i="5"/>
  <c r="FR44" i="5"/>
  <c r="FR43" i="5"/>
  <c r="FR42" i="5"/>
  <c r="FR41" i="5"/>
  <c r="FR40" i="5"/>
  <c r="FR39" i="5"/>
  <c r="FR46" i="5"/>
  <c r="FR45" i="5"/>
  <c r="FR51" i="5"/>
  <c r="FR63" i="5"/>
  <c r="FR49" i="5"/>
  <c r="FR52" i="5"/>
  <c r="FR38" i="5"/>
  <c r="FR37" i="5"/>
  <c r="FR36" i="5"/>
  <c r="FR35" i="5"/>
  <c r="FR47" i="5" s="1"/>
  <c r="FR29" i="5"/>
  <c r="FR32" i="5"/>
  <c r="FR28" i="5"/>
  <c r="FR27" i="5"/>
  <c r="FR26" i="5"/>
  <c r="FR25" i="5"/>
  <c r="FR31" i="5"/>
  <c r="FR18" i="5"/>
  <c r="FS5" i="5"/>
  <c r="FR21" i="5"/>
  <c r="FR16" i="5"/>
  <c r="FR15" i="5"/>
  <c r="FR14" i="5"/>
  <c r="FR13" i="5"/>
  <c r="FR12" i="5"/>
  <c r="FR11" i="5"/>
  <c r="FR10" i="5"/>
  <c r="FR9" i="5"/>
  <c r="FR24" i="5"/>
  <c r="FR23" i="5"/>
  <c r="FR7" i="5"/>
  <c r="FR22" i="5"/>
  <c r="FR30" i="5"/>
  <c r="FR8" i="5"/>
  <c r="FR17" i="5"/>
  <c r="FQ33" i="5"/>
  <c r="FQ19" i="5"/>
  <c r="FS74" i="5" l="1"/>
  <c r="FS73" i="5"/>
  <c r="FS68" i="5"/>
  <c r="FS67" i="5"/>
  <c r="FS71" i="5"/>
  <c r="FS72" i="5"/>
  <c r="FS70" i="5"/>
  <c r="FS66" i="5"/>
  <c r="FS65" i="5"/>
  <c r="FS64" i="5"/>
  <c r="FS60" i="5"/>
  <c r="FS57" i="5"/>
  <c r="FS56" i="5"/>
  <c r="FS55" i="5"/>
  <c r="FS54" i="5"/>
  <c r="FS53" i="5"/>
  <c r="FS58" i="5"/>
  <c r="FS46" i="5"/>
  <c r="FS45" i="5"/>
  <c r="FS63" i="5"/>
  <c r="FS59" i="5"/>
  <c r="FS51" i="5"/>
  <c r="FS49" i="5"/>
  <c r="FS61" i="5" s="1"/>
  <c r="FS50" i="5"/>
  <c r="FS44" i="5"/>
  <c r="FS43" i="5"/>
  <c r="FS39" i="5"/>
  <c r="FS69" i="5"/>
  <c r="FS52" i="5"/>
  <c r="FS40" i="5"/>
  <c r="FS32" i="5"/>
  <c r="FS38" i="5"/>
  <c r="FS36" i="5"/>
  <c r="FS30" i="5"/>
  <c r="FS41" i="5"/>
  <c r="FS29" i="5"/>
  <c r="FS21" i="5"/>
  <c r="FS16" i="5"/>
  <c r="FS15" i="5"/>
  <c r="FS14" i="5"/>
  <c r="FS13" i="5"/>
  <c r="FS12" i="5"/>
  <c r="FS11" i="5"/>
  <c r="FS10" i="5"/>
  <c r="FS9" i="5"/>
  <c r="FS8" i="5"/>
  <c r="FS7" i="5"/>
  <c r="FS19" i="5" s="1"/>
  <c r="FS28" i="5"/>
  <c r="FS26" i="5"/>
  <c r="FS24" i="5"/>
  <c r="FS37" i="5"/>
  <c r="FS35" i="5"/>
  <c r="FS31" i="5"/>
  <c r="FS18" i="5"/>
  <c r="FT5" i="5"/>
  <c r="FS42" i="5"/>
  <c r="FS22" i="5"/>
  <c r="FS25" i="5"/>
  <c r="FS17" i="5"/>
  <c r="FS27" i="5"/>
  <c r="FS23" i="5"/>
  <c r="FR19" i="5"/>
  <c r="FR61" i="5"/>
  <c r="FR33" i="5"/>
  <c r="FR75" i="5"/>
  <c r="FS33" i="5" l="1"/>
  <c r="FS47" i="5"/>
  <c r="FT74" i="5"/>
  <c r="FT68" i="5"/>
  <c r="FT67" i="5"/>
  <c r="FT66" i="5"/>
  <c r="FT71" i="5"/>
  <c r="FT72" i="5"/>
  <c r="FT69" i="5"/>
  <c r="FT65" i="5"/>
  <c r="FT64" i="5"/>
  <c r="FT63" i="5"/>
  <c r="FT73" i="5"/>
  <c r="FT70" i="5"/>
  <c r="FT60" i="5"/>
  <c r="FT58" i="5"/>
  <c r="FT57" i="5"/>
  <c r="FT56" i="5"/>
  <c r="FT54" i="5"/>
  <c r="FT52" i="5"/>
  <c r="FT51" i="5"/>
  <c r="FT50" i="5"/>
  <c r="FT55" i="5"/>
  <c r="FT49" i="5"/>
  <c r="FT61" i="5" s="1"/>
  <c r="FT46" i="5"/>
  <c r="FT59" i="5"/>
  <c r="FT44" i="5"/>
  <c r="FT53" i="5"/>
  <c r="FT41" i="5"/>
  <c r="FT39" i="5"/>
  <c r="FT45" i="5"/>
  <c r="FT38" i="5"/>
  <c r="FT36" i="5"/>
  <c r="FT30" i="5"/>
  <c r="FT43" i="5"/>
  <c r="FT42" i="5"/>
  <c r="FT40" i="5"/>
  <c r="FT32" i="5"/>
  <c r="FT28" i="5"/>
  <c r="FT26" i="5"/>
  <c r="FT24" i="5"/>
  <c r="FT37" i="5"/>
  <c r="FT22" i="5"/>
  <c r="FT21" i="5"/>
  <c r="FT16" i="5"/>
  <c r="FT15" i="5"/>
  <c r="FT14" i="5"/>
  <c r="FT13" i="5"/>
  <c r="FT12" i="5"/>
  <c r="FT11" i="5"/>
  <c r="FT10" i="5"/>
  <c r="FT9" i="5"/>
  <c r="FT8" i="5"/>
  <c r="FT7" i="5"/>
  <c r="FT35" i="5"/>
  <c r="FT31" i="5"/>
  <c r="FT29" i="5"/>
  <c r="FT25" i="5"/>
  <c r="FU5" i="5"/>
  <c r="FT27" i="5"/>
  <c r="FT18" i="5"/>
  <c r="FT17" i="5"/>
  <c r="FT23" i="5"/>
  <c r="FS75" i="5"/>
  <c r="FT19" i="5" l="1"/>
  <c r="FT33" i="5"/>
  <c r="FT75" i="5"/>
  <c r="FU71" i="5"/>
  <c r="FU72" i="5"/>
  <c r="FU69" i="5"/>
  <c r="FU74" i="5"/>
  <c r="FU66" i="5"/>
  <c r="FU65" i="5"/>
  <c r="FU64" i="5"/>
  <c r="FU63" i="5"/>
  <c r="FU60" i="5"/>
  <c r="FU59" i="5"/>
  <c r="FU58" i="5"/>
  <c r="FU57" i="5"/>
  <c r="FU73" i="5"/>
  <c r="FU70" i="5"/>
  <c r="FU67" i="5"/>
  <c r="FU54" i="5"/>
  <c r="FU52" i="5"/>
  <c r="FU51" i="5"/>
  <c r="FU50" i="5"/>
  <c r="FU68" i="5"/>
  <c r="FU49" i="5"/>
  <c r="FU61" i="5" s="1"/>
  <c r="FU46" i="5"/>
  <c r="FU55" i="5"/>
  <c r="FU56" i="5"/>
  <c r="FU53" i="5"/>
  <c r="FU41" i="5"/>
  <c r="FU42" i="5"/>
  <c r="FU40" i="5"/>
  <c r="FU44" i="5"/>
  <c r="FU45" i="5"/>
  <c r="FU38" i="5"/>
  <c r="FU36" i="5"/>
  <c r="FU30" i="5"/>
  <c r="FU43" i="5"/>
  <c r="FU37" i="5"/>
  <c r="FU39" i="5"/>
  <c r="FU22" i="5"/>
  <c r="FU17" i="5"/>
  <c r="FU32" i="5"/>
  <c r="FU28" i="5"/>
  <c r="FU26" i="5"/>
  <c r="FU24" i="5"/>
  <c r="FU25" i="5"/>
  <c r="FU21" i="5"/>
  <c r="FU7" i="5"/>
  <c r="FV5" i="5"/>
  <c r="FU23" i="5"/>
  <c r="FU16" i="5"/>
  <c r="FU14" i="5"/>
  <c r="FU12" i="5"/>
  <c r="FU10" i="5"/>
  <c r="FU27" i="5"/>
  <c r="FU35" i="5"/>
  <c r="FU47" i="5" s="1"/>
  <c r="FU31" i="5"/>
  <c r="FU29" i="5"/>
  <c r="FU8" i="5"/>
  <c r="FU15" i="5"/>
  <c r="FU18" i="5"/>
  <c r="FU9" i="5"/>
  <c r="FU11" i="5"/>
  <c r="FU13" i="5"/>
  <c r="FT47" i="5"/>
  <c r="FU19" i="5" l="1"/>
  <c r="FU75" i="5"/>
  <c r="FU33" i="5"/>
  <c r="FV73" i="5"/>
  <c r="FV72" i="5"/>
  <c r="FV69" i="5"/>
  <c r="FV74" i="5"/>
  <c r="FV71" i="5"/>
  <c r="FV68" i="5"/>
  <c r="FV67" i="5"/>
  <c r="FV66" i="5"/>
  <c r="FV60" i="5"/>
  <c r="FV65" i="5"/>
  <c r="FV64" i="5"/>
  <c r="FV70" i="5"/>
  <c r="FV58" i="5"/>
  <c r="FV59" i="5"/>
  <c r="FV52" i="5"/>
  <c r="FV51" i="5"/>
  <c r="FV50" i="5"/>
  <c r="FV49" i="5"/>
  <c r="FV63" i="5"/>
  <c r="FV56" i="5"/>
  <c r="FV57" i="5"/>
  <c r="FV54" i="5"/>
  <c r="FV55" i="5"/>
  <c r="FV53" i="5"/>
  <c r="FV46" i="5"/>
  <c r="FV41" i="5"/>
  <c r="FV32" i="5"/>
  <c r="FV31" i="5"/>
  <c r="FV30" i="5"/>
  <c r="FV29" i="5"/>
  <c r="FV42" i="5"/>
  <c r="FV40" i="5"/>
  <c r="FV45" i="5"/>
  <c r="FV43" i="5"/>
  <c r="FV18" i="5"/>
  <c r="FV17" i="5"/>
  <c r="FV38" i="5"/>
  <c r="FV36" i="5"/>
  <c r="FV39" i="5"/>
  <c r="FV22" i="5"/>
  <c r="FV27" i="5"/>
  <c r="FV25" i="5"/>
  <c r="FV44" i="5"/>
  <c r="FV37" i="5"/>
  <c r="FW5" i="5"/>
  <c r="FV23" i="5"/>
  <c r="FV16" i="5"/>
  <c r="FV14" i="5"/>
  <c r="FV12" i="5"/>
  <c r="FV10" i="5"/>
  <c r="FV26" i="5"/>
  <c r="FV35" i="5"/>
  <c r="FV21" i="5"/>
  <c r="FV33" i="5" s="1"/>
  <c r="FV7" i="5"/>
  <c r="FV15" i="5"/>
  <c r="FV11" i="5"/>
  <c r="FV9" i="5"/>
  <c r="FV13" i="5"/>
  <c r="FV24" i="5"/>
  <c r="FV28" i="5"/>
  <c r="FV8" i="5"/>
  <c r="FV61" i="5" l="1"/>
  <c r="FW73" i="5"/>
  <c r="FW72" i="5"/>
  <c r="FW71" i="5"/>
  <c r="FW74" i="5"/>
  <c r="FW70" i="5"/>
  <c r="FW68" i="5"/>
  <c r="FW67" i="5"/>
  <c r="FW65" i="5"/>
  <c r="FW64" i="5"/>
  <c r="FW66" i="5"/>
  <c r="FW59" i="5"/>
  <c r="FW60" i="5"/>
  <c r="FW58" i="5"/>
  <c r="FW63" i="5"/>
  <c r="FW56" i="5"/>
  <c r="FW69" i="5"/>
  <c r="FW52" i="5"/>
  <c r="FW51" i="5"/>
  <c r="FW50" i="5"/>
  <c r="FW57" i="5"/>
  <c r="FW53" i="5"/>
  <c r="FW54" i="5"/>
  <c r="FW55" i="5"/>
  <c r="FW49" i="5"/>
  <c r="FW42" i="5"/>
  <c r="FW40" i="5"/>
  <c r="FW45" i="5"/>
  <c r="FW43" i="5"/>
  <c r="FW46" i="5"/>
  <c r="FW38" i="5"/>
  <c r="FW37" i="5"/>
  <c r="FW36" i="5"/>
  <c r="FW35" i="5"/>
  <c r="FW41" i="5"/>
  <c r="FW44" i="5"/>
  <c r="FW31" i="5"/>
  <c r="FW28" i="5"/>
  <c r="FW27" i="5"/>
  <c r="FW26" i="5"/>
  <c r="FW25" i="5"/>
  <c r="FW30" i="5"/>
  <c r="FW17" i="5"/>
  <c r="FW23" i="5"/>
  <c r="FW39" i="5"/>
  <c r="FW22" i="5"/>
  <c r="FW32" i="5"/>
  <c r="FW16" i="5"/>
  <c r="FW14" i="5"/>
  <c r="FW12" i="5"/>
  <c r="FW10" i="5"/>
  <c r="FW24" i="5"/>
  <c r="FX5" i="5"/>
  <c r="FW8" i="5"/>
  <c r="FW9" i="5"/>
  <c r="FW21" i="5"/>
  <c r="FW33" i="5" s="1"/>
  <c r="FW18" i="5"/>
  <c r="FW7" i="5"/>
  <c r="FW11" i="5"/>
  <c r="FW13" i="5"/>
  <c r="FW29" i="5"/>
  <c r="FW15" i="5"/>
  <c r="FV47" i="5"/>
  <c r="FV75" i="5"/>
  <c r="FV19" i="5"/>
  <c r="FW75" i="5" l="1"/>
  <c r="FW19" i="5"/>
  <c r="FW47" i="5"/>
  <c r="FX73" i="5"/>
  <c r="FX72" i="5"/>
  <c r="FX71" i="5"/>
  <c r="FX74" i="5"/>
  <c r="FX70" i="5"/>
  <c r="FX68" i="5"/>
  <c r="FX67" i="5"/>
  <c r="FX66" i="5"/>
  <c r="FX63" i="5"/>
  <c r="FX59" i="5"/>
  <c r="FX65" i="5"/>
  <c r="FX60" i="5"/>
  <c r="FX69" i="5"/>
  <c r="FX56" i="5"/>
  <c r="FX53" i="5"/>
  <c r="FX58" i="5"/>
  <c r="FX54" i="5"/>
  <c r="FX51" i="5"/>
  <c r="FX45" i="5"/>
  <c r="FX44" i="5"/>
  <c r="FX43" i="5"/>
  <c r="FX42" i="5"/>
  <c r="FX41" i="5"/>
  <c r="FX57" i="5"/>
  <c r="FX46" i="5"/>
  <c r="FX38" i="5"/>
  <c r="FX37" i="5"/>
  <c r="FX36" i="5"/>
  <c r="FX35" i="5"/>
  <c r="FX47" i="5" s="1"/>
  <c r="FX64" i="5"/>
  <c r="FX55" i="5"/>
  <c r="FX52" i="5"/>
  <c r="FX50" i="5"/>
  <c r="FX49" i="5"/>
  <c r="FX40" i="5"/>
  <c r="FX31" i="5"/>
  <c r="FX28" i="5"/>
  <c r="FX27" i="5"/>
  <c r="FX26" i="5"/>
  <c r="FX25" i="5"/>
  <c r="FX17" i="5"/>
  <c r="FX23" i="5"/>
  <c r="FX29" i="5"/>
  <c r="FX22" i="5"/>
  <c r="FX24" i="5"/>
  <c r="FX18" i="5"/>
  <c r="FX39" i="5"/>
  <c r="FX32" i="5"/>
  <c r="FX16" i="5"/>
  <c r="FX14" i="5"/>
  <c r="FX12" i="5"/>
  <c r="FX10" i="5"/>
  <c r="FX9" i="5"/>
  <c r="FX8" i="5"/>
  <c r="FX7" i="5"/>
  <c r="FX13" i="5"/>
  <c r="FX11" i="5"/>
  <c r="FY5" i="5"/>
  <c r="FX30" i="5"/>
  <c r="FX21" i="5"/>
  <c r="FX15" i="5"/>
  <c r="FW61" i="5"/>
  <c r="FX61" i="5" l="1"/>
  <c r="FX75" i="5"/>
  <c r="FX19" i="5"/>
  <c r="FX33" i="5"/>
  <c r="FY73" i="5"/>
  <c r="FY72" i="5"/>
  <c r="FY71" i="5"/>
  <c r="FY70" i="5"/>
  <c r="FY69" i="5"/>
  <c r="FY74" i="5"/>
  <c r="FY68" i="5"/>
  <c r="FY67" i="5"/>
  <c r="FY63" i="5"/>
  <c r="FY65" i="5"/>
  <c r="FY60" i="5"/>
  <c r="FY56" i="5"/>
  <c r="FY59" i="5"/>
  <c r="FY53" i="5"/>
  <c r="FY55" i="5"/>
  <c r="FY64" i="5"/>
  <c r="FY66" i="5"/>
  <c r="FY51" i="5"/>
  <c r="FY45" i="5"/>
  <c r="FY44" i="5"/>
  <c r="FY43" i="5"/>
  <c r="FY42" i="5"/>
  <c r="FY41" i="5"/>
  <c r="FY40" i="5"/>
  <c r="FY58" i="5"/>
  <c r="FY54" i="5"/>
  <c r="FY46" i="5"/>
  <c r="FY38" i="5"/>
  <c r="FY37" i="5"/>
  <c r="FY36" i="5"/>
  <c r="FY35" i="5"/>
  <c r="FY57" i="5"/>
  <c r="FY39" i="5"/>
  <c r="FY52" i="5"/>
  <c r="FY50" i="5"/>
  <c r="FY31" i="5"/>
  <c r="FY28" i="5"/>
  <c r="FY27" i="5"/>
  <c r="FY26" i="5"/>
  <c r="FY25" i="5"/>
  <c r="FY24" i="5"/>
  <c r="FY23" i="5"/>
  <c r="FY22" i="5"/>
  <c r="FY21" i="5"/>
  <c r="FY49" i="5"/>
  <c r="FY29" i="5"/>
  <c r="FY18" i="5"/>
  <c r="FY16" i="5"/>
  <c r="FY15" i="5"/>
  <c r="FY14" i="5"/>
  <c r="FY13" i="5"/>
  <c r="FY12" i="5"/>
  <c r="FY11" i="5"/>
  <c r="FY10" i="5"/>
  <c r="FY9" i="5"/>
  <c r="FY17" i="5"/>
  <c r="FY8" i="5"/>
  <c r="FY30" i="5"/>
  <c r="FY32" i="5"/>
  <c r="FY7" i="5"/>
  <c r="FY19" i="5" s="1"/>
  <c r="FZ5" i="5"/>
  <c r="FY33" i="5" l="1"/>
  <c r="FY47" i="5"/>
  <c r="FY75" i="5"/>
  <c r="FZ74" i="5"/>
  <c r="FZ70" i="5"/>
  <c r="FZ68" i="5"/>
  <c r="FZ67" i="5"/>
  <c r="FZ73" i="5"/>
  <c r="FZ69" i="5"/>
  <c r="FZ72" i="5"/>
  <c r="FZ63" i="5"/>
  <c r="FZ71" i="5"/>
  <c r="FZ56" i="5"/>
  <c r="FZ55" i="5"/>
  <c r="FZ57" i="5"/>
  <c r="FZ65" i="5"/>
  <c r="FZ60" i="5"/>
  <c r="FZ53" i="5"/>
  <c r="FZ64" i="5"/>
  <c r="FZ66" i="5"/>
  <c r="FZ45" i="5"/>
  <c r="FZ44" i="5"/>
  <c r="FZ43" i="5"/>
  <c r="FZ42" i="5"/>
  <c r="FZ41" i="5"/>
  <c r="FZ40" i="5"/>
  <c r="FZ39" i="5"/>
  <c r="FZ52" i="5"/>
  <c r="FZ51" i="5"/>
  <c r="FZ59" i="5"/>
  <c r="FZ54" i="5"/>
  <c r="FZ58" i="5"/>
  <c r="FZ50" i="5"/>
  <c r="FZ49" i="5"/>
  <c r="FZ46" i="5"/>
  <c r="FZ38" i="5"/>
  <c r="FZ37" i="5"/>
  <c r="FZ36" i="5"/>
  <c r="FZ35" i="5"/>
  <c r="FZ29" i="5"/>
  <c r="FZ32" i="5"/>
  <c r="FZ31" i="5"/>
  <c r="FZ28" i="5"/>
  <c r="FZ27" i="5"/>
  <c r="FZ26" i="5"/>
  <c r="FZ25" i="5"/>
  <c r="FZ23" i="5"/>
  <c r="GA5" i="5"/>
  <c r="FZ18" i="5"/>
  <c r="FZ16" i="5"/>
  <c r="FZ15" i="5"/>
  <c r="FZ14" i="5"/>
  <c r="FZ13" i="5"/>
  <c r="FZ12" i="5"/>
  <c r="FZ11" i="5"/>
  <c r="FZ10" i="5"/>
  <c r="FZ9" i="5"/>
  <c r="FZ30" i="5"/>
  <c r="FZ21" i="5"/>
  <c r="FZ24" i="5"/>
  <c r="FZ8" i="5"/>
  <c r="FZ17" i="5"/>
  <c r="FZ22" i="5"/>
  <c r="FZ7" i="5"/>
  <c r="FZ19" i="5" s="1"/>
  <c r="FY61" i="5"/>
  <c r="FZ75" i="5" l="1"/>
  <c r="GA73" i="5"/>
  <c r="GA74" i="5"/>
  <c r="GA68" i="5"/>
  <c r="GA67" i="5"/>
  <c r="GA66" i="5"/>
  <c r="GA65" i="5"/>
  <c r="GA64" i="5"/>
  <c r="GA72" i="5"/>
  <c r="GA63" i="5"/>
  <c r="GA70" i="5"/>
  <c r="GA71" i="5"/>
  <c r="GA60" i="5"/>
  <c r="GA56" i="5"/>
  <c r="GA55" i="5"/>
  <c r="GA54" i="5"/>
  <c r="GA53" i="5"/>
  <c r="GA69" i="5"/>
  <c r="GA57" i="5"/>
  <c r="GA46" i="5"/>
  <c r="GA45" i="5"/>
  <c r="GA52" i="5"/>
  <c r="GA44" i="5"/>
  <c r="GA43" i="5"/>
  <c r="GA58" i="5"/>
  <c r="GA39" i="5"/>
  <c r="GA50" i="5"/>
  <c r="GA49" i="5"/>
  <c r="GA51" i="5"/>
  <c r="GA59" i="5"/>
  <c r="GA42" i="5"/>
  <c r="GA29" i="5"/>
  <c r="GA32" i="5"/>
  <c r="GA37" i="5"/>
  <c r="GA35" i="5"/>
  <c r="GA41" i="5"/>
  <c r="GA18" i="5"/>
  <c r="GA16" i="5"/>
  <c r="GA15" i="5"/>
  <c r="GA14" i="5"/>
  <c r="GA13" i="5"/>
  <c r="GA12" i="5"/>
  <c r="GA11" i="5"/>
  <c r="GA10" i="5"/>
  <c r="GA9" i="5"/>
  <c r="GA8" i="5"/>
  <c r="GA7" i="5"/>
  <c r="GA38" i="5"/>
  <c r="GA30" i="5"/>
  <c r="GA27" i="5"/>
  <c r="GA25" i="5"/>
  <c r="GA21" i="5"/>
  <c r="GA24" i="5"/>
  <c r="GA23" i="5"/>
  <c r="GB5" i="5"/>
  <c r="GA26" i="5"/>
  <c r="GA17" i="5"/>
  <c r="GA36" i="5"/>
  <c r="GA28" i="5"/>
  <c r="GA40" i="5"/>
  <c r="GA31" i="5"/>
  <c r="GA22" i="5"/>
  <c r="FZ61" i="5"/>
  <c r="FZ47" i="5"/>
  <c r="FZ33" i="5"/>
  <c r="GA47" i="5" l="1"/>
  <c r="GB74" i="5"/>
  <c r="GB68" i="5"/>
  <c r="GB67" i="5"/>
  <c r="GB66" i="5"/>
  <c r="GB73" i="5"/>
  <c r="GB71" i="5"/>
  <c r="GB65" i="5"/>
  <c r="GB64" i="5"/>
  <c r="GB63" i="5"/>
  <c r="GB69" i="5"/>
  <c r="GB70" i="5"/>
  <c r="GB72" i="5"/>
  <c r="GB60" i="5"/>
  <c r="GB57" i="5"/>
  <c r="GB58" i="5"/>
  <c r="GB56" i="5"/>
  <c r="GB55" i="5"/>
  <c r="GB54" i="5"/>
  <c r="GB52" i="5"/>
  <c r="GB51" i="5"/>
  <c r="GB50" i="5"/>
  <c r="GB53" i="5"/>
  <c r="GB49" i="5"/>
  <c r="GB46" i="5"/>
  <c r="GB45" i="5"/>
  <c r="GB43" i="5"/>
  <c r="GB39" i="5"/>
  <c r="GB59" i="5"/>
  <c r="GB32" i="5"/>
  <c r="GB44" i="5"/>
  <c r="GB42" i="5"/>
  <c r="GB37" i="5"/>
  <c r="GB35" i="5"/>
  <c r="GB30" i="5"/>
  <c r="GB29" i="5"/>
  <c r="GB38" i="5"/>
  <c r="GB27" i="5"/>
  <c r="GB25" i="5"/>
  <c r="GB21" i="5"/>
  <c r="GB24" i="5"/>
  <c r="GB41" i="5"/>
  <c r="GB18" i="5"/>
  <c r="GB16" i="5"/>
  <c r="GB15" i="5"/>
  <c r="GB14" i="5"/>
  <c r="GB13" i="5"/>
  <c r="GB12" i="5"/>
  <c r="GB11" i="5"/>
  <c r="GB10" i="5"/>
  <c r="GB9" i="5"/>
  <c r="GB8" i="5"/>
  <c r="GB7" i="5"/>
  <c r="GB26" i="5"/>
  <c r="GB23" i="5"/>
  <c r="GB17" i="5"/>
  <c r="GB36" i="5"/>
  <c r="GB28" i="5"/>
  <c r="GB40" i="5"/>
  <c r="GB31" i="5"/>
  <c r="GC5" i="5"/>
  <c r="GB22" i="5"/>
  <c r="GA75" i="5"/>
  <c r="GA19" i="5"/>
  <c r="GA33" i="5"/>
  <c r="GA61" i="5"/>
  <c r="GB33" i="5" l="1"/>
  <c r="GB61" i="5"/>
  <c r="GC74" i="5"/>
  <c r="GC69" i="5"/>
  <c r="GC71" i="5"/>
  <c r="GC72" i="5"/>
  <c r="GC70" i="5"/>
  <c r="GC65" i="5"/>
  <c r="GC64" i="5"/>
  <c r="GC63" i="5"/>
  <c r="GC66" i="5"/>
  <c r="GC73" i="5"/>
  <c r="GC60" i="5"/>
  <c r="GC59" i="5"/>
  <c r="GC58" i="5"/>
  <c r="GC57" i="5"/>
  <c r="GC68" i="5"/>
  <c r="GC67" i="5"/>
  <c r="GC55" i="5"/>
  <c r="GC54" i="5"/>
  <c r="GC52" i="5"/>
  <c r="GC51" i="5"/>
  <c r="GC50" i="5"/>
  <c r="GC56" i="5"/>
  <c r="GC49" i="5"/>
  <c r="GC46" i="5"/>
  <c r="GC53" i="5"/>
  <c r="GC45" i="5"/>
  <c r="GC43" i="5"/>
  <c r="GC39" i="5"/>
  <c r="GC44" i="5"/>
  <c r="GC42" i="5"/>
  <c r="GC37" i="5"/>
  <c r="GC35" i="5"/>
  <c r="GC30" i="5"/>
  <c r="GC32" i="5"/>
  <c r="GC24" i="5"/>
  <c r="GC29" i="5"/>
  <c r="GC31" i="5"/>
  <c r="GC22" i="5"/>
  <c r="GC38" i="5"/>
  <c r="GC27" i="5"/>
  <c r="GC25" i="5"/>
  <c r="GC21" i="5"/>
  <c r="GC8" i="5"/>
  <c r="GC18" i="5"/>
  <c r="GC36" i="5"/>
  <c r="GC28" i="5"/>
  <c r="GC15" i="5"/>
  <c r="GC13" i="5"/>
  <c r="GC11" i="5"/>
  <c r="GC9" i="5"/>
  <c r="GC7" i="5"/>
  <c r="GC41" i="5"/>
  <c r="GC40" i="5"/>
  <c r="GC26" i="5"/>
  <c r="GC23" i="5"/>
  <c r="GC17" i="5"/>
  <c r="GC14" i="5"/>
  <c r="GC10" i="5"/>
  <c r="GC12" i="5"/>
  <c r="GC16" i="5"/>
  <c r="GD5" i="5"/>
  <c r="GB47" i="5"/>
  <c r="GB75" i="5"/>
  <c r="GB19" i="5"/>
  <c r="GD74" i="5" l="1"/>
  <c r="GD69" i="5"/>
  <c r="GD73" i="5"/>
  <c r="GD71" i="5"/>
  <c r="GD66" i="5"/>
  <c r="GD70" i="5"/>
  <c r="GD60" i="5"/>
  <c r="GD72" i="5"/>
  <c r="GD68" i="5"/>
  <c r="GD67" i="5"/>
  <c r="GD58" i="5"/>
  <c r="GD63" i="5"/>
  <c r="GD57" i="5"/>
  <c r="GD54" i="5"/>
  <c r="GD52" i="5"/>
  <c r="GD51" i="5"/>
  <c r="GD50" i="5"/>
  <c r="GD49" i="5"/>
  <c r="GD64" i="5"/>
  <c r="GD59" i="5"/>
  <c r="GD55" i="5"/>
  <c r="GD46" i="5"/>
  <c r="GD56" i="5"/>
  <c r="GD65" i="5"/>
  <c r="GD32" i="5"/>
  <c r="GD31" i="5"/>
  <c r="GD30" i="5"/>
  <c r="GD29" i="5"/>
  <c r="GD53" i="5"/>
  <c r="GD44" i="5"/>
  <c r="GD45" i="5"/>
  <c r="GD43" i="5"/>
  <c r="GD18" i="5"/>
  <c r="GD17" i="5"/>
  <c r="GD39" i="5"/>
  <c r="GD42" i="5"/>
  <c r="GD37" i="5"/>
  <c r="GD35" i="5"/>
  <c r="GD22" i="5"/>
  <c r="GD40" i="5"/>
  <c r="GD28" i="5"/>
  <c r="GD26" i="5"/>
  <c r="GD24" i="5"/>
  <c r="GD36" i="5"/>
  <c r="GD15" i="5"/>
  <c r="GD13" i="5"/>
  <c r="GD11" i="5"/>
  <c r="GD9" i="5"/>
  <c r="GD7" i="5"/>
  <c r="GD41" i="5"/>
  <c r="GD27" i="5"/>
  <c r="GE5" i="5"/>
  <c r="GD38" i="5"/>
  <c r="GD25" i="5"/>
  <c r="GD8" i="5"/>
  <c r="GD10" i="5"/>
  <c r="GD12" i="5"/>
  <c r="GD14" i="5"/>
  <c r="GD21" i="5"/>
  <c r="GD23" i="5"/>
  <c r="GD16" i="5"/>
  <c r="GC33" i="5"/>
  <c r="GC47" i="5"/>
  <c r="GC19" i="5"/>
  <c r="GC75" i="5"/>
  <c r="GC61" i="5"/>
  <c r="GE74" i="5" l="1"/>
  <c r="GE72" i="5"/>
  <c r="GE71" i="5"/>
  <c r="GE73" i="5"/>
  <c r="GE69" i="5"/>
  <c r="GE68" i="5"/>
  <c r="GE70" i="5"/>
  <c r="GE66" i="5"/>
  <c r="GE67" i="5"/>
  <c r="GE65" i="5"/>
  <c r="GE64" i="5"/>
  <c r="GE58" i="5"/>
  <c r="GE63" i="5"/>
  <c r="GE59" i="5"/>
  <c r="GE60" i="5"/>
  <c r="GE54" i="5"/>
  <c r="GE52" i="5"/>
  <c r="GE51" i="5"/>
  <c r="GE50" i="5"/>
  <c r="GE56" i="5"/>
  <c r="GE49" i="5"/>
  <c r="GE46" i="5"/>
  <c r="GE57" i="5"/>
  <c r="GE53" i="5"/>
  <c r="GE44" i="5"/>
  <c r="GE55" i="5"/>
  <c r="GE41" i="5"/>
  <c r="GE40" i="5"/>
  <c r="GE38" i="5"/>
  <c r="GE37" i="5"/>
  <c r="GE36" i="5"/>
  <c r="GE35" i="5"/>
  <c r="GE47" i="5" s="1"/>
  <c r="GE30" i="5"/>
  <c r="GE39" i="5"/>
  <c r="GE28" i="5"/>
  <c r="GE27" i="5"/>
  <c r="GE26" i="5"/>
  <c r="GE25" i="5"/>
  <c r="GE45" i="5"/>
  <c r="GE43" i="5"/>
  <c r="GE29" i="5"/>
  <c r="GE22" i="5"/>
  <c r="GE31" i="5"/>
  <c r="GE17" i="5"/>
  <c r="GE18" i="5"/>
  <c r="GE15" i="5"/>
  <c r="GE13" i="5"/>
  <c r="GE11" i="5"/>
  <c r="GE9" i="5"/>
  <c r="GE7" i="5"/>
  <c r="GF5" i="5"/>
  <c r="GE32" i="5"/>
  <c r="GE42" i="5"/>
  <c r="GE24" i="5"/>
  <c r="GE16" i="5"/>
  <c r="GE12" i="5"/>
  <c r="GE8" i="5"/>
  <c r="GE21" i="5"/>
  <c r="GE23" i="5"/>
  <c r="GE14" i="5"/>
  <c r="GE10" i="5"/>
  <c r="GD75" i="5"/>
  <c r="GD47" i="5"/>
  <c r="GD61" i="5"/>
  <c r="GD33" i="5"/>
  <c r="GD19" i="5"/>
  <c r="GE75" i="5" l="1"/>
  <c r="GE19" i="5"/>
  <c r="GE61" i="5"/>
  <c r="GF74" i="5"/>
  <c r="GF72" i="5"/>
  <c r="GF71" i="5"/>
  <c r="GF73" i="5"/>
  <c r="GF70" i="5"/>
  <c r="GF69" i="5"/>
  <c r="GF68" i="5"/>
  <c r="GF67" i="5"/>
  <c r="GF65" i="5"/>
  <c r="GF64" i="5"/>
  <c r="GF63" i="5"/>
  <c r="GF59" i="5"/>
  <c r="GF66" i="5"/>
  <c r="GF58" i="5"/>
  <c r="GF57" i="5"/>
  <c r="GF60" i="5"/>
  <c r="GF52" i="5"/>
  <c r="GF50" i="5"/>
  <c r="GF44" i="5"/>
  <c r="GF43" i="5"/>
  <c r="GF42" i="5"/>
  <c r="GF41" i="5"/>
  <c r="GF56" i="5"/>
  <c r="GF49" i="5"/>
  <c r="GF55" i="5"/>
  <c r="GF40" i="5"/>
  <c r="GF38" i="5"/>
  <c r="GF37" i="5"/>
  <c r="GF36" i="5"/>
  <c r="GF35" i="5"/>
  <c r="GF51" i="5"/>
  <c r="GF54" i="5"/>
  <c r="GF53" i="5"/>
  <c r="GF39" i="5"/>
  <c r="GF28" i="5"/>
  <c r="GF27" i="5"/>
  <c r="GF26" i="5"/>
  <c r="GF25" i="5"/>
  <c r="GF31" i="5"/>
  <c r="GF30" i="5"/>
  <c r="GF17" i="5"/>
  <c r="GF32" i="5"/>
  <c r="GF23" i="5"/>
  <c r="GF29" i="5"/>
  <c r="GF22" i="5"/>
  <c r="GG5" i="5"/>
  <c r="GF21" i="5"/>
  <c r="GF46" i="5"/>
  <c r="GF45" i="5"/>
  <c r="GF18" i="5"/>
  <c r="GF15" i="5"/>
  <c r="GF13" i="5"/>
  <c r="GF11" i="5"/>
  <c r="GF9" i="5"/>
  <c r="GF7" i="5"/>
  <c r="GF12" i="5"/>
  <c r="GF24" i="5"/>
  <c r="GF14" i="5"/>
  <c r="GF16" i="5"/>
  <c r="GF10" i="5"/>
  <c r="GF8" i="5"/>
  <c r="GE33" i="5"/>
  <c r="GF75" i="5" l="1"/>
  <c r="GF61" i="5"/>
  <c r="GF33" i="5"/>
  <c r="GF19" i="5"/>
  <c r="GG72" i="5"/>
  <c r="GG71" i="5"/>
  <c r="GG70" i="5"/>
  <c r="GG69" i="5"/>
  <c r="GG73" i="5"/>
  <c r="GG74" i="5"/>
  <c r="GG67" i="5"/>
  <c r="GG68" i="5"/>
  <c r="GG65" i="5"/>
  <c r="GG64" i="5"/>
  <c r="GG59" i="5"/>
  <c r="GG66" i="5"/>
  <c r="GG56" i="5"/>
  <c r="GG63" i="5"/>
  <c r="GG57" i="5"/>
  <c r="GG58" i="5"/>
  <c r="GG53" i="5"/>
  <c r="GG50" i="5"/>
  <c r="GG44" i="5"/>
  <c r="GG43" i="5"/>
  <c r="GG42" i="5"/>
  <c r="GG41" i="5"/>
  <c r="GG40" i="5"/>
  <c r="GG45" i="5"/>
  <c r="GG60" i="5"/>
  <c r="GG52" i="5"/>
  <c r="GG55" i="5"/>
  <c r="GG38" i="5"/>
  <c r="GG37" i="5"/>
  <c r="GG36" i="5"/>
  <c r="GG35" i="5"/>
  <c r="GG51" i="5"/>
  <c r="GG49" i="5"/>
  <c r="GG54" i="5"/>
  <c r="GG28" i="5"/>
  <c r="GG27" i="5"/>
  <c r="GG26" i="5"/>
  <c r="GG25" i="5"/>
  <c r="GG24" i="5"/>
  <c r="GG23" i="5"/>
  <c r="GG22" i="5"/>
  <c r="GG21" i="5"/>
  <c r="GG31" i="5"/>
  <c r="GG39" i="5"/>
  <c r="GG30" i="5"/>
  <c r="GG17" i="5"/>
  <c r="GG32" i="5"/>
  <c r="GG46" i="5"/>
  <c r="GG16" i="5"/>
  <c r="GG15" i="5"/>
  <c r="GG14" i="5"/>
  <c r="GG13" i="5"/>
  <c r="GG12" i="5"/>
  <c r="GG11" i="5"/>
  <c r="GG10" i="5"/>
  <c r="GG9" i="5"/>
  <c r="GH5" i="5"/>
  <c r="GG18" i="5"/>
  <c r="GG7" i="5"/>
  <c r="GG8" i="5"/>
  <c r="GG29" i="5"/>
  <c r="GF47" i="5"/>
  <c r="GH73" i="5" l="1"/>
  <c r="GH71" i="5"/>
  <c r="GH70" i="5"/>
  <c r="GH72" i="5"/>
  <c r="GH68" i="5"/>
  <c r="GH67" i="5"/>
  <c r="GH74" i="5"/>
  <c r="GH69" i="5"/>
  <c r="GH65" i="5"/>
  <c r="GH64" i="5"/>
  <c r="GH66" i="5"/>
  <c r="GH63" i="5"/>
  <c r="GH56" i="5"/>
  <c r="GH55" i="5"/>
  <c r="GH59" i="5"/>
  <c r="GH57" i="5"/>
  <c r="GH58" i="5"/>
  <c r="GH53" i="5"/>
  <c r="GH50" i="5"/>
  <c r="GH44" i="5"/>
  <c r="GH43" i="5"/>
  <c r="GH42" i="5"/>
  <c r="GH41" i="5"/>
  <c r="GH40" i="5"/>
  <c r="GH39" i="5"/>
  <c r="GH45" i="5"/>
  <c r="GH51" i="5"/>
  <c r="GH49" i="5"/>
  <c r="GH52" i="5"/>
  <c r="GH54" i="5"/>
  <c r="GH60" i="5"/>
  <c r="GH38" i="5"/>
  <c r="GH37" i="5"/>
  <c r="GH36" i="5"/>
  <c r="GH35" i="5"/>
  <c r="GH31" i="5"/>
  <c r="GH29" i="5"/>
  <c r="GH28" i="5"/>
  <c r="GH27" i="5"/>
  <c r="GH26" i="5"/>
  <c r="GH25" i="5"/>
  <c r="GH32" i="5"/>
  <c r="GI5" i="5"/>
  <c r="GH46" i="5"/>
  <c r="GH23" i="5"/>
  <c r="GH16" i="5"/>
  <c r="GH15" i="5"/>
  <c r="GH14" i="5"/>
  <c r="GH13" i="5"/>
  <c r="GH12" i="5"/>
  <c r="GH11" i="5"/>
  <c r="GH10" i="5"/>
  <c r="GH9" i="5"/>
  <c r="GH18" i="5"/>
  <c r="GH30" i="5"/>
  <c r="GH17" i="5"/>
  <c r="GH21" i="5"/>
  <c r="GH7" i="5"/>
  <c r="GH24" i="5"/>
  <c r="GH8" i="5"/>
  <c r="GH22" i="5"/>
  <c r="GG47" i="5"/>
  <c r="GG75" i="5"/>
  <c r="GG19" i="5"/>
  <c r="GG33" i="5"/>
  <c r="GG61" i="5"/>
  <c r="GI73" i="5" l="1"/>
  <c r="GI74" i="5"/>
  <c r="GI71" i="5"/>
  <c r="GI70" i="5"/>
  <c r="GI72" i="5"/>
  <c r="GI68" i="5"/>
  <c r="GI67" i="5"/>
  <c r="GI65" i="5"/>
  <c r="GI64" i="5"/>
  <c r="GI69" i="5"/>
  <c r="GI66" i="5"/>
  <c r="GI63" i="5"/>
  <c r="GI60" i="5"/>
  <c r="GI56" i="5"/>
  <c r="GI55" i="5"/>
  <c r="GI54" i="5"/>
  <c r="GI53" i="5"/>
  <c r="GI57" i="5"/>
  <c r="GI58" i="5"/>
  <c r="GI46" i="5"/>
  <c r="GI45" i="5"/>
  <c r="GI59" i="5"/>
  <c r="GI51" i="5"/>
  <c r="GI50" i="5"/>
  <c r="GI44" i="5"/>
  <c r="GI43" i="5"/>
  <c r="GI40" i="5"/>
  <c r="GI41" i="5"/>
  <c r="GI52" i="5"/>
  <c r="GI42" i="5"/>
  <c r="GI39" i="5"/>
  <c r="GI49" i="5"/>
  <c r="GI61" i="5" s="1"/>
  <c r="GI29" i="5"/>
  <c r="GI38" i="5"/>
  <c r="GI36" i="5"/>
  <c r="GI32" i="5"/>
  <c r="GI31" i="5"/>
  <c r="GI23" i="5"/>
  <c r="GI16" i="5"/>
  <c r="GI15" i="5"/>
  <c r="GI14" i="5"/>
  <c r="GI13" i="5"/>
  <c r="GI12" i="5"/>
  <c r="GI11" i="5"/>
  <c r="GI10" i="5"/>
  <c r="GI9" i="5"/>
  <c r="GI8" i="5"/>
  <c r="GI7" i="5"/>
  <c r="GI19" i="5" s="1"/>
  <c r="GI28" i="5"/>
  <c r="GI26" i="5"/>
  <c r="GI18" i="5"/>
  <c r="GI21" i="5"/>
  <c r="GJ5" i="5"/>
  <c r="GI37" i="5"/>
  <c r="GI27" i="5"/>
  <c r="GI30" i="5"/>
  <c r="GI35" i="5"/>
  <c r="GI24" i="5"/>
  <c r="GI25" i="5"/>
  <c r="GI22" i="5"/>
  <c r="GI17" i="5"/>
  <c r="GH47" i="5"/>
  <c r="GH75" i="5"/>
  <c r="GH61" i="5"/>
  <c r="GH19" i="5"/>
  <c r="GH33" i="5"/>
  <c r="GJ74" i="5" l="1"/>
  <c r="GJ72" i="5"/>
  <c r="GJ68" i="5"/>
  <c r="GJ67" i="5"/>
  <c r="GJ66" i="5"/>
  <c r="GJ73" i="5"/>
  <c r="GJ70" i="5"/>
  <c r="GJ65" i="5"/>
  <c r="GJ64" i="5"/>
  <c r="GJ63" i="5"/>
  <c r="GJ71" i="5"/>
  <c r="GJ60" i="5"/>
  <c r="GJ69" i="5"/>
  <c r="GJ57" i="5"/>
  <c r="GJ56" i="5"/>
  <c r="GJ59" i="5"/>
  <c r="GJ53" i="5"/>
  <c r="GJ52" i="5"/>
  <c r="GJ51" i="5"/>
  <c r="GJ50" i="5"/>
  <c r="GJ58" i="5"/>
  <c r="GJ45" i="5"/>
  <c r="GJ55" i="5"/>
  <c r="GJ54" i="5"/>
  <c r="GJ44" i="5"/>
  <c r="GJ41" i="5"/>
  <c r="GJ42" i="5"/>
  <c r="GJ39" i="5"/>
  <c r="GJ49" i="5"/>
  <c r="GJ40" i="5"/>
  <c r="GJ29" i="5"/>
  <c r="GJ38" i="5"/>
  <c r="GJ36" i="5"/>
  <c r="GJ32" i="5"/>
  <c r="GJ46" i="5"/>
  <c r="GJ31" i="5"/>
  <c r="GJ28" i="5"/>
  <c r="GJ26" i="5"/>
  <c r="GJ18" i="5"/>
  <c r="GJ21" i="5"/>
  <c r="GJ35" i="5"/>
  <c r="GJ24" i="5"/>
  <c r="GJ23" i="5"/>
  <c r="GJ16" i="5"/>
  <c r="GJ15" i="5"/>
  <c r="GJ14" i="5"/>
  <c r="GJ13" i="5"/>
  <c r="GJ12" i="5"/>
  <c r="GJ11" i="5"/>
  <c r="GJ10" i="5"/>
  <c r="GJ9" i="5"/>
  <c r="GJ8" i="5"/>
  <c r="GJ7" i="5"/>
  <c r="GJ27" i="5"/>
  <c r="GJ22" i="5"/>
  <c r="GJ30" i="5"/>
  <c r="GJ43" i="5"/>
  <c r="GJ37" i="5"/>
  <c r="GK5" i="5"/>
  <c r="GJ25" i="5"/>
  <c r="GJ17" i="5"/>
  <c r="GI75" i="5"/>
  <c r="GI33" i="5"/>
  <c r="GI47" i="5"/>
  <c r="GJ19" i="5" l="1"/>
  <c r="GJ61" i="5"/>
  <c r="GJ75" i="5"/>
  <c r="GJ33" i="5"/>
  <c r="GK74" i="5"/>
  <c r="GK73" i="5"/>
  <c r="GK65" i="5"/>
  <c r="GK64" i="5"/>
  <c r="GK63" i="5"/>
  <c r="GK71" i="5"/>
  <c r="GK67" i="5"/>
  <c r="GK68" i="5"/>
  <c r="GK66" i="5"/>
  <c r="GK70" i="5"/>
  <c r="GK72" i="5"/>
  <c r="GK60" i="5"/>
  <c r="GK59" i="5"/>
  <c r="GK58" i="5"/>
  <c r="GK57" i="5"/>
  <c r="GK69" i="5"/>
  <c r="GK52" i="5"/>
  <c r="GK51" i="5"/>
  <c r="GK50" i="5"/>
  <c r="GK55" i="5"/>
  <c r="GK54" i="5"/>
  <c r="GK53" i="5"/>
  <c r="GK49" i="5"/>
  <c r="GK46" i="5"/>
  <c r="GK45" i="5"/>
  <c r="GK42" i="5"/>
  <c r="GK39" i="5"/>
  <c r="GK56" i="5"/>
  <c r="GK44" i="5"/>
  <c r="GK41" i="5"/>
  <c r="GK38" i="5"/>
  <c r="GK36" i="5"/>
  <c r="GK32" i="5"/>
  <c r="GK40" i="5"/>
  <c r="GK30" i="5"/>
  <c r="GK29" i="5"/>
  <c r="GK21" i="5"/>
  <c r="GK35" i="5"/>
  <c r="GK24" i="5"/>
  <c r="GK43" i="5"/>
  <c r="GK31" i="5"/>
  <c r="GK28" i="5"/>
  <c r="GK26" i="5"/>
  <c r="GK18" i="5"/>
  <c r="GK22" i="5"/>
  <c r="GK16" i="5"/>
  <c r="GK14" i="5"/>
  <c r="GK12" i="5"/>
  <c r="GK10" i="5"/>
  <c r="GK8" i="5"/>
  <c r="GK25" i="5"/>
  <c r="GK37" i="5"/>
  <c r="GK27" i="5"/>
  <c r="GK7" i="5"/>
  <c r="GK15" i="5"/>
  <c r="GL5" i="5"/>
  <c r="GK17" i="5"/>
  <c r="GK11" i="5"/>
  <c r="GK23" i="5"/>
  <c r="GK13" i="5"/>
  <c r="GK9" i="5"/>
  <c r="GJ47" i="5"/>
  <c r="GL74" i="5" l="1"/>
  <c r="GL69" i="5"/>
  <c r="GL72" i="5"/>
  <c r="GL71" i="5"/>
  <c r="GL67" i="5"/>
  <c r="GL68" i="5"/>
  <c r="GL66" i="5"/>
  <c r="GL73" i="5"/>
  <c r="GL60" i="5"/>
  <c r="GL63" i="5"/>
  <c r="GL70" i="5"/>
  <c r="GL57" i="5"/>
  <c r="GL64" i="5"/>
  <c r="GL58" i="5"/>
  <c r="GL52" i="5"/>
  <c r="GL51" i="5"/>
  <c r="GL50" i="5"/>
  <c r="GL49" i="5"/>
  <c r="GL55" i="5"/>
  <c r="GL54" i="5"/>
  <c r="GL56" i="5"/>
  <c r="GL59" i="5"/>
  <c r="GL46" i="5"/>
  <c r="GL32" i="5"/>
  <c r="GL31" i="5"/>
  <c r="GL30" i="5"/>
  <c r="GL29" i="5"/>
  <c r="GL65" i="5"/>
  <c r="GL43" i="5"/>
  <c r="GL53" i="5"/>
  <c r="GL42" i="5"/>
  <c r="GL39" i="5"/>
  <c r="GL18" i="5"/>
  <c r="GL17" i="5"/>
  <c r="GL40" i="5"/>
  <c r="GL41" i="5"/>
  <c r="GL44" i="5"/>
  <c r="GL38" i="5"/>
  <c r="GL36" i="5"/>
  <c r="GL35" i="5"/>
  <c r="GL47" i="5" s="1"/>
  <c r="GL24" i="5"/>
  <c r="GL27" i="5"/>
  <c r="GL25" i="5"/>
  <c r="GL22" i="5"/>
  <c r="GL21" i="5"/>
  <c r="GL28" i="5"/>
  <c r="GL16" i="5"/>
  <c r="GL14" i="5"/>
  <c r="GL12" i="5"/>
  <c r="GL10" i="5"/>
  <c r="GL8" i="5"/>
  <c r="GL45" i="5"/>
  <c r="GL37" i="5"/>
  <c r="GL11" i="5"/>
  <c r="GL15" i="5"/>
  <c r="GM5" i="5"/>
  <c r="GL9" i="5"/>
  <c r="GL26" i="5"/>
  <c r="GL23" i="5"/>
  <c r="GL13" i="5"/>
  <c r="GL7" i="5"/>
  <c r="GK61" i="5"/>
  <c r="GK19" i="5"/>
  <c r="GK47" i="5"/>
  <c r="GK33" i="5"/>
  <c r="GK75" i="5"/>
  <c r="GL33" i="5" l="1"/>
  <c r="GM72" i="5"/>
  <c r="GM71" i="5"/>
  <c r="GM69" i="5"/>
  <c r="GM68" i="5"/>
  <c r="GM66" i="5"/>
  <c r="GM67" i="5"/>
  <c r="GM63" i="5"/>
  <c r="GM73" i="5"/>
  <c r="GM64" i="5"/>
  <c r="GM58" i="5"/>
  <c r="GM60" i="5"/>
  <c r="GM70" i="5"/>
  <c r="GM57" i="5"/>
  <c r="GM55" i="5"/>
  <c r="GM54" i="5"/>
  <c r="GM56" i="5"/>
  <c r="GM74" i="5"/>
  <c r="GM52" i="5"/>
  <c r="GM51" i="5"/>
  <c r="GM50" i="5"/>
  <c r="GM46" i="5"/>
  <c r="GM49" i="5"/>
  <c r="GM53" i="5"/>
  <c r="GM65" i="5"/>
  <c r="GM43" i="5"/>
  <c r="GM38" i="5"/>
  <c r="GM37" i="5"/>
  <c r="GM36" i="5"/>
  <c r="GM35" i="5"/>
  <c r="GM59" i="5"/>
  <c r="GM40" i="5"/>
  <c r="GM41" i="5"/>
  <c r="GM30" i="5"/>
  <c r="GM28" i="5"/>
  <c r="GM27" i="5"/>
  <c r="GM26" i="5"/>
  <c r="GM25" i="5"/>
  <c r="GM32" i="5"/>
  <c r="GM22" i="5"/>
  <c r="GM42" i="5"/>
  <c r="GM24" i="5"/>
  <c r="GM21" i="5"/>
  <c r="GM16" i="5"/>
  <c r="GM14" i="5"/>
  <c r="GM12" i="5"/>
  <c r="GM10" i="5"/>
  <c r="GM8" i="5"/>
  <c r="GM45" i="5"/>
  <c r="GM44" i="5"/>
  <c r="GM39" i="5"/>
  <c r="GM23" i="5"/>
  <c r="GM7" i="5"/>
  <c r="GM31" i="5"/>
  <c r="GM29" i="5"/>
  <c r="GM18" i="5"/>
  <c r="GM17" i="5"/>
  <c r="GM9" i="5"/>
  <c r="GM13" i="5"/>
  <c r="GM15" i="5"/>
  <c r="GN5" i="5"/>
  <c r="GM11" i="5"/>
  <c r="GL19" i="5"/>
  <c r="GL61" i="5"/>
  <c r="GL75" i="5"/>
  <c r="GM75" i="5" l="1"/>
  <c r="GM19" i="5"/>
  <c r="GM61" i="5"/>
  <c r="GN72" i="5"/>
  <c r="GN71" i="5"/>
  <c r="GN73" i="5"/>
  <c r="GN69" i="5"/>
  <c r="GN68" i="5"/>
  <c r="GN66" i="5"/>
  <c r="GN67" i="5"/>
  <c r="GN74" i="5"/>
  <c r="GN64" i="5"/>
  <c r="GN58" i="5"/>
  <c r="GN60" i="5"/>
  <c r="GN59" i="5"/>
  <c r="GN70" i="5"/>
  <c r="GN63" i="5"/>
  <c r="GN56" i="5"/>
  <c r="GN65" i="5"/>
  <c r="GN57" i="5"/>
  <c r="GN55" i="5"/>
  <c r="GN54" i="5"/>
  <c r="GN49" i="5"/>
  <c r="GN53" i="5"/>
  <c r="GN51" i="5"/>
  <c r="GN44" i="5"/>
  <c r="GN43" i="5"/>
  <c r="GN42" i="5"/>
  <c r="GN41" i="5"/>
  <c r="GN46" i="5"/>
  <c r="GN52" i="5"/>
  <c r="GN50" i="5"/>
  <c r="GN38" i="5"/>
  <c r="GN37" i="5"/>
  <c r="GN36" i="5"/>
  <c r="GN35" i="5"/>
  <c r="GN45" i="5"/>
  <c r="GN30" i="5"/>
  <c r="GN28" i="5"/>
  <c r="GN27" i="5"/>
  <c r="GN26" i="5"/>
  <c r="GN25" i="5"/>
  <c r="GN40" i="5"/>
  <c r="GN22" i="5"/>
  <c r="GN17" i="5"/>
  <c r="GN32" i="5"/>
  <c r="GN39" i="5"/>
  <c r="GN23" i="5"/>
  <c r="GN7" i="5"/>
  <c r="GO5" i="5"/>
  <c r="GN31" i="5"/>
  <c r="GN29" i="5"/>
  <c r="GN21" i="5"/>
  <c r="GN16" i="5"/>
  <c r="GN14" i="5"/>
  <c r="GN12" i="5"/>
  <c r="GN10" i="5"/>
  <c r="GN8" i="5"/>
  <c r="GN13" i="5"/>
  <c r="GN11" i="5"/>
  <c r="GN15" i="5"/>
  <c r="GN9" i="5"/>
  <c r="GN24" i="5"/>
  <c r="GN18" i="5"/>
  <c r="GM47" i="5"/>
  <c r="GM33" i="5"/>
  <c r="GN33" i="5" l="1"/>
  <c r="GO72" i="5"/>
  <c r="GO71" i="5"/>
  <c r="GO70" i="5"/>
  <c r="GO69" i="5"/>
  <c r="GO73" i="5"/>
  <c r="GO74" i="5"/>
  <c r="GO67" i="5"/>
  <c r="GO66" i="5"/>
  <c r="GO60" i="5"/>
  <c r="GO59" i="5"/>
  <c r="GO65" i="5"/>
  <c r="GO56" i="5"/>
  <c r="GO55" i="5"/>
  <c r="GO64" i="5"/>
  <c r="GO58" i="5"/>
  <c r="GO68" i="5"/>
  <c r="GO63" i="5"/>
  <c r="GO53" i="5"/>
  <c r="GO51" i="5"/>
  <c r="GO54" i="5"/>
  <c r="GO44" i="5"/>
  <c r="GO43" i="5"/>
  <c r="GO42" i="5"/>
  <c r="GO41" i="5"/>
  <c r="GO40" i="5"/>
  <c r="GO49" i="5"/>
  <c r="GO52" i="5"/>
  <c r="GO50" i="5"/>
  <c r="GO38" i="5"/>
  <c r="GO37" i="5"/>
  <c r="GO36" i="5"/>
  <c r="GO35" i="5"/>
  <c r="GO45" i="5"/>
  <c r="GO46" i="5"/>
  <c r="GO57" i="5"/>
  <c r="GO28" i="5"/>
  <c r="GO27" i="5"/>
  <c r="GO26" i="5"/>
  <c r="GO25" i="5"/>
  <c r="GO24" i="5"/>
  <c r="GO23" i="5"/>
  <c r="GO22" i="5"/>
  <c r="GO21" i="5"/>
  <c r="GO31" i="5"/>
  <c r="GO30" i="5"/>
  <c r="GO17" i="5"/>
  <c r="GO16" i="5"/>
  <c r="GO15" i="5"/>
  <c r="GO14" i="5"/>
  <c r="GO13" i="5"/>
  <c r="GO12" i="5"/>
  <c r="GO11" i="5"/>
  <c r="GO10" i="5"/>
  <c r="GO9" i="5"/>
  <c r="GO39" i="5"/>
  <c r="GO7" i="5"/>
  <c r="GP5" i="5"/>
  <c r="GO29" i="5"/>
  <c r="GO32" i="5"/>
  <c r="GO8" i="5"/>
  <c r="GO18" i="5"/>
  <c r="GN61" i="5"/>
  <c r="GN47" i="5"/>
  <c r="GN19" i="5"/>
  <c r="GN75" i="5"/>
  <c r="GO61" i="5" l="1"/>
  <c r="GO33" i="5"/>
  <c r="GP73" i="5"/>
  <c r="GP74" i="5"/>
  <c r="GP70" i="5"/>
  <c r="GP68" i="5"/>
  <c r="GP67" i="5"/>
  <c r="GP72" i="5"/>
  <c r="GP71" i="5"/>
  <c r="GP69" i="5"/>
  <c r="GP66" i="5"/>
  <c r="GP65" i="5"/>
  <c r="GP64" i="5"/>
  <c r="GP59" i="5"/>
  <c r="GP56" i="5"/>
  <c r="GP55" i="5"/>
  <c r="GP60" i="5"/>
  <c r="GP53" i="5"/>
  <c r="GP54" i="5"/>
  <c r="GP44" i="5"/>
  <c r="GP43" i="5"/>
  <c r="GP42" i="5"/>
  <c r="GP41" i="5"/>
  <c r="GP40" i="5"/>
  <c r="GP39" i="5"/>
  <c r="GP52" i="5"/>
  <c r="GP45" i="5"/>
  <c r="GP51" i="5"/>
  <c r="GP46" i="5"/>
  <c r="GP63" i="5"/>
  <c r="GP49" i="5"/>
  <c r="GP57" i="5"/>
  <c r="GP58" i="5"/>
  <c r="GP50" i="5"/>
  <c r="GP38" i="5"/>
  <c r="GP37" i="5"/>
  <c r="GP36" i="5"/>
  <c r="GP35" i="5"/>
  <c r="GP31" i="5"/>
  <c r="GP28" i="5"/>
  <c r="GP27" i="5"/>
  <c r="GP26" i="5"/>
  <c r="GP25" i="5"/>
  <c r="GP17" i="5"/>
  <c r="GQ5" i="5"/>
  <c r="GP16" i="5"/>
  <c r="GP15" i="5"/>
  <c r="GP14" i="5"/>
  <c r="GP13" i="5"/>
  <c r="GP12" i="5"/>
  <c r="GP11" i="5"/>
  <c r="GP10" i="5"/>
  <c r="GP9" i="5"/>
  <c r="GP29" i="5"/>
  <c r="GP23" i="5"/>
  <c r="GP22" i="5"/>
  <c r="GP30" i="5"/>
  <c r="GP24" i="5"/>
  <c r="GP18" i="5"/>
  <c r="GP32" i="5"/>
  <c r="GP7" i="5"/>
  <c r="GP21" i="5"/>
  <c r="GP8" i="5"/>
  <c r="GO75" i="5"/>
  <c r="GO19" i="5"/>
  <c r="GO47" i="5"/>
  <c r="GP75" i="5" l="1"/>
  <c r="GP61" i="5"/>
  <c r="GP47" i="5"/>
  <c r="GP19" i="5"/>
  <c r="GQ73" i="5"/>
  <c r="GQ74" i="5"/>
  <c r="GQ70" i="5"/>
  <c r="GQ68" i="5"/>
  <c r="GQ67" i="5"/>
  <c r="GQ65" i="5"/>
  <c r="GQ64" i="5"/>
  <c r="GQ71" i="5"/>
  <c r="GQ69" i="5"/>
  <c r="GQ60" i="5"/>
  <c r="GQ66" i="5"/>
  <c r="GQ56" i="5"/>
  <c r="GQ55" i="5"/>
  <c r="GQ54" i="5"/>
  <c r="GQ53" i="5"/>
  <c r="GQ59" i="5"/>
  <c r="GQ46" i="5"/>
  <c r="GQ45" i="5"/>
  <c r="GQ72" i="5"/>
  <c r="GQ52" i="5"/>
  <c r="GQ57" i="5"/>
  <c r="GQ44" i="5"/>
  <c r="GQ43" i="5"/>
  <c r="GQ40" i="5"/>
  <c r="GQ63" i="5"/>
  <c r="GQ49" i="5"/>
  <c r="GQ58" i="5"/>
  <c r="GQ50" i="5"/>
  <c r="GQ51" i="5"/>
  <c r="GQ41" i="5"/>
  <c r="GQ31" i="5"/>
  <c r="GQ37" i="5"/>
  <c r="GQ35" i="5"/>
  <c r="GQ29" i="5"/>
  <c r="GQ16" i="5"/>
  <c r="GQ15" i="5"/>
  <c r="GQ14" i="5"/>
  <c r="GQ13" i="5"/>
  <c r="GQ12" i="5"/>
  <c r="GQ11" i="5"/>
  <c r="GQ10" i="5"/>
  <c r="GQ9" i="5"/>
  <c r="GQ8" i="5"/>
  <c r="GQ7" i="5"/>
  <c r="GQ42" i="5"/>
  <c r="GQ27" i="5"/>
  <c r="GQ25" i="5"/>
  <c r="GQ23" i="5"/>
  <c r="GQ39" i="5"/>
  <c r="GQ36" i="5"/>
  <c r="GQ18" i="5"/>
  <c r="GQ17" i="5"/>
  <c r="GR5" i="5"/>
  <c r="GQ28" i="5"/>
  <c r="GQ22" i="5"/>
  <c r="GQ30" i="5"/>
  <c r="GQ24" i="5"/>
  <c r="GQ32" i="5"/>
  <c r="GQ38" i="5"/>
  <c r="GQ26" i="5"/>
  <c r="GQ21" i="5"/>
  <c r="GP33" i="5"/>
  <c r="GQ19" i="5" l="1"/>
  <c r="GQ61" i="5"/>
  <c r="GQ47" i="5"/>
  <c r="GQ75" i="5"/>
  <c r="GQ33" i="5"/>
  <c r="GR74" i="5"/>
  <c r="GR73" i="5"/>
  <c r="GR70" i="5"/>
  <c r="GR68" i="5"/>
  <c r="GR67" i="5"/>
  <c r="GR66" i="5"/>
  <c r="GR71" i="5"/>
  <c r="GR65" i="5"/>
  <c r="GR64" i="5"/>
  <c r="GR63" i="5"/>
  <c r="GR72" i="5"/>
  <c r="GR69" i="5"/>
  <c r="GR60" i="5"/>
  <c r="GR57" i="5"/>
  <c r="GR56" i="5"/>
  <c r="GR53" i="5"/>
  <c r="GR52" i="5"/>
  <c r="GR51" i="5"/>
  <c r="GR50" i="5"/>
  <c r="GR55" i="5"/>
  <c r="GR45" i="5"/>
  <c r="GR59" i="5"/>
  <c r="GR58" i="5"/>
  <c r="GR54" i="5"/>
  <c r="GR46" i="5"/>
  <c r="GR43" i="5"/>
  <c r="GR40" i="5"/>
  <c r="GR39" i="5"/>
  <c r="GR49" i="5"/>
  <c r="GR37" i="5"/>
  <c r="GR35" i="5"/>
  <c r="GR29" i="5"/>
  <c r="GR32" i="5"/>
  <c r="GR41" i="5"/>
  <c r="GR31" i="5"/>
  <c r="GR42" i="5"/>
  <c r="GR27" i="5"/>
  <c r="GR25" i="5"/>
  <c r="GR23" i="5"/>
  <c r="GR36" i="5"/>
  <c r="GR18" i="5"/>
  <c r="GR30" i="5"/>
  <c r="GR21" i="5"/>
  <c r="GR16" i="5"/>
  <c r="GR15" i="5"/>
  <c r="GR14" i="5"/>
  <c r="GR13" i="5"/>
  <c r="GR12" i="5"/>
  <c r="GR11" i="5"/>
  <c r="GR10" i="5"/>
  <c r="GR9" i="5"/>
  <c r="GR8" i="5"/>
  <c r="GR7" i="5"/>
  <c r="GR44" i="5"/>
  <c r="GR24" i="5"/>
  <c r="GS5" i="5"/>
  <c r="GR38" i="5"/>
  <c r="GR17" i="5"/>
  <c r="GR26" i="5"/>
  <c r="GR28" i="5"/>
  <c r="GR22" i="5"/>
  <c r="GR75" i="5" l="1"/>
  <c r="GS74" i="5"/>
  <c r="GS71" i="5"/>
  <c r="GS72" i="5"/>
  <c r="GS73" i="5"/>
  <c r="GS70" i="5"/>
  <c r="GS68" i="5"/>
  <c r="GS65" i="5"/>
  <c r="GS64" i="5"/>
  <c r="GS63" i="5"/>
  <c r="GS69" i="5"/>
  <c r="GS60" i="5"/>
  <c r="GS59" i="5"/>
  <c r="GS58" i="5"/>
  <c r="GS57" i="5"/>
  <c r="GS67" i="5"/>
  <c r="GS66" i="5"/>
  <c r="GS53" i="5"/>
  <c r="GS52" i="5"/>
  <c r="GS51" i="5"/>
  <c r="GS50" i="5"/>
  <c r="GS56" i="5"/>
  <c r="GS55" i="5"/>
  <c r="GS45" i="5"/>
  <c r="GS40" i="5"/>
  <c r="GS39" i="5"/>
  <c r="GS49" i="5"/>
  <c r="GS41" i="5"/>
  <c r="GS54" i="5"/>
  <c r="GS46" i="5"/>
  <c r="GS43" i="5"/>
  <c r="GS37" i="5"/>
  <c r="GS35" i="5"/>
  <c r="GS29" i="5"/>
  <c r="GS32" i="5"/>
  <c r="GS42" i="5"/>
  <c r="GS36" i="5"/>
  <c r="GS18" i="5"/>
  <c r="GS30" i="5"/>
  <c r="GS21" i="5"/>
  <c r="GS24" i="5"/>
  <c r="GS27" i="5"/>
  <c r="GS25" i="5"/>
  <c r="GS23" i="5"/>
  <c r="GS38" i="5"/>
  <c r="GS17" i="5"/>
  <c r="GS31" i="5"/>
  <c r="GS15" i="5"/>
  <c r="GS13" i="5"/>
  <c r="GS11" i="5"/>
  <c r="GS9" i="5"/>
  <c r="GS26" i="5"/>
  <c r="GS44" i="5"/>
  <c r="GT5" i="5"/>
  <c r="GS22" i="5"/>
  <c r="GS14" i="5"/>
  <c r="GS7" i="5"/>
  <c r="GS8" i="5"/>
  <c r="GS28" i="5"/>
  <c r="GS16" i="5"/>
  <c r="GS10" i="5"/>
  <c r="GS12" i="5"/>
  <c r="GR47" i="5"/>
  <c r="GR19" i="5"/>
  <c r="GR61" i="5"/>
  <c r="GR33" i="5"/>
  <c r="GS33" i="5" l="1"/>
  <c r="GS61" i="5"/>
  <c r="GT74" i="5"/>
  <c r="GT71" i="5"/>
  <c r="GT72" i="5"/>
  <c r="GT69" i="5"/>
  <c r="GT73" i="5"/>
  <c r="GT66" i="5"/>
  <c r="GT60" i="5"/>
  <c r="GT65" i="5"/>
  <c r="GT64" i="5"/>
  <c r="GT63" i="5"/>
  <c r="GT57" i="5"/>
  <c r="GT52" i="5"/>
  <c r="GT51" i="5"/>
  <c r="GT50" i="5"/>
  <c r="GT49" i="5"/>
  <c r="GT54" i="5"/>
  <c r="GT68" i="5"/>
  <c r="GT70" i="5"/>
  <c r="GT53" i="5"/>
  <c r="GT59" i="5"/>
  <c r="GT58" i="5"/>
  <c r="GT46" i="5"/>
  <c r="GT67" i="5"/>
  <c r="GT55" i="5"/>
  <c r="GT45" i="5"/>
  <c r="GT39" i="5"/>
  <c r="GT32" i="5"/>
  <c r="GT31" i="5"/>
  <c r="GT30" i="5"/>
  <c r="GT29" i="5"/>
  <c r="GT56" i="5"/>
  <c r="GT41" i="5"/>
  <c r="GT44" i="5"/>
  <c r="GT42" i="5"/>
  <c r="GT40" i="5"/>
  <c r="GT18" i="5"/>
  <c r="GT17" i="5"/>
  <c r="GT37" i="5"/>
  <c r="GT35" i="5"/>
  <c r="GT21" i="5"/>
  <c r="GT43" i="5"/>
  <c r="GT24" i="5"/>
  <c r="GT38" i="5"/>
  <c r="GT28" i="5"/>
  <c r="GT26" i="5"/>
  <c r="GT36" i="5"/>
  <c r="GT23" i="5"/>
  <c r="GT15" i="5"/>
  <c r="GT13" i="5"/>
  <c r="GT11" i="5"/>
  <c r="GT9" i="5"/>
  <c r="GT25" i="5"/>
  <c r="GT22" i="5"/>
  <c r="GT14" i="5"/>
  <c r="GT10" i="5"/>
  <c r="GT12" i="5"/>
  <c r="GT7" i="5"/>
  <c r="GT27" i="5"/>
  <c r="GT16" i="5"/>
  <c r="GU5" i="5"/>
  <c r="GT8" i="5"/>
  <c r="GS75" i="5"/>
  <c r="GS19" i="5"/>
  <c r="GS47" i="5"/>
  <c r="GU74" i="5" l="1"/>
  <c r="GU72" i="5"/>
  <c r="GU71" i="5"/>
  <c r="GU69" i="5"/>
  <c r="GU73" i="5"/>
  <c r="GU66" i="5"/>
  <c r="GU70" i="5"/>
  <c r="GU67" i="5"/>
  <c r="GU65" i="5"/>
  <c r="GU64" i="5"/>
  <c r="GU63" i="5"/>
  <c r="GU57" i="5"/>
  <c r="GU58" i="5"/>
  <c r="GU54" i="5"/>
  <c r="GU68" i="5"/>
  <c r="GU52" i="5"/>
  <c r="GU51" i="5"/>
  <c r="GU50" i="5"/>
  <c r="GU59" i="5"/>
  <c r="GU46" i="5"/>
  <c r="GU49" i="5"/>
  <c r="GU53" i="5"/>
  <c r="GU56" i="5"/>
  <c r="GU45" i="5"/>
  <c r="GU41" i="5"/>
  <c r="GU44" i="5"/>
  <c r="GU42" i="5"/>
  <c r="GU38" i="5"/>
  <c r="GU37" i="5"/>
  <c r="GU36" i="5"/>
  <c r="GU35" i="5"/>
  <c r="GU60" i="5"/>
  <c r="GU55" i="5"/>
  <c r="GU39" i="5"/>
  <c r="GU32" i="5"/>
  <c r="GU30" i="5"/>
  <c r="GU28" i="5"/>
  <c r="GU27" i="5"/>
  <c r="GU26" i="5"/>
  <c r="GU25" i="5"/>
  <c r="GU29" i="5"/>
  <c r="GU43" i="5"/>
  <c r="GU24" i="5"/>
  <c r="GU40" i="5"/>
  <c r="GU22" i="5"/>
  <c r="GU21" i="5"/>
  <c r="GU18" i="5"/>
  <c r="GU17" i="5"/>
  <c r="GU15" i="5"/>
  <c r="GU13" i="5"/>
  <c r="GU11" i="5"/>
  <c r="GU9" i="5"/>
  <c r="GU31" i="5"/>
  <c r="GU8" i="5"/>
  <c r="GU23" i="5"/>
  <c r="GU7" i="5"/>
  <c r="GU19" i="5" s="1"/>
  <c r="GU12" i="5"/>
  <c r="GU16" i="5"/>
  <c r="GV5" i="5"/>
  <c r="GU10" i="5"/>
  <c r="GU14" i="5"/>
  <c r="GT75" i="5"/>
  <c r="GT19" i="5"/>
  <c r="GT33" i="5"/>
  <c r="GT47" i="5"/>
  <c r="GT61" i="5"/>
  <c r="GU47" i="5" l="1"/>
  <c r="GU33" i="5"/>
  <c r="GV74" i="5"/>
  <c r="GV72" i="5"/>
  <c r="GV71" i="5"/>
  <c r="GV69" i="5"/>
  <c r="GV73" i="5"/>
  <c r="GV66" i="5"/>
  <c r="GV70" i="5"/>
  <c r="GV67" i="5"/>
  <c r="GV65" i="5"/>
  <c r="GV64" i="5"/>
  <c r="GV63" i="5"/>
  <c r="GV58" i="5"/>
  <c r="GV68" i="5"/>
  <c r="GV57" i="5"/>
  <c r="GV54" i="5"/>
  <c r="GV59" i="5"/>
  <c r="GV55" i="5"/>
  <c r="GV52" i="5"/>
  <c r="GV46" i="5"/>
  <c r="GV49" i="5"/>
  <c r="GV50" i="5"/>
  <c r="GV44" i="5"/>
  <c r="GV43" i="5"/>
  <c r="GV42" i="5"/>
  <c r="GV41" i="5"/>
  <c r="GV38" i="5"/>
  <c r="GV37" i="5"/>
  <c r="GV36" i="5"/>
  <c r="GV35" i="5"/>
  <c r="GV47" i="5" s="1"/>
  <c r="GV60" i="5"/>
  <c r="GV53" i="5"/>
  <c r="GV51" i="5"/>
  <c r="GV56" i="5"/>
  <c r="GV45" i="5"/>
  <c r="GV30" i="5"/>
  <c r="GV28" i="5"/>
  <c r="GV27" i="5"/>
  <c r="GV26" i="5"/>
  <c r="GV25" i="5"/>
  <c r="GV39" i="5"/>
  <c r="GV32" i="5"/>
  <c r="GV40" i="5"/>
  <c r="GV29" i="5"/>
  <c r="GV22" i="5"/>
  <c r="GV31" i="5"/>
  <c r="GV24" i="5"/>
  <c r="GV18" i="5"/>
  <c r="GV8" i="5"/>
  <c r="GV17" i="5"/>
  <c r="GV15" i="5"/>
  <c r="GV13" i="5"/>
  <c r="GV11" i="5"/>
  <c r="GV9" i="5"/>
  <c r="GV23" i="5"/>
  <c r="GV16" i="5"/>
  <c r="GW5" i="5"/>
  <c r="GV14" i="5"/>
  <c r="GV10" i="5"/>
  <c r="GV12" i="5"/>
  <c r="GV21" i="5"/>
  <c r="GV7" i="5"/>
  <c r="GV19" i="5" s="1"/>
  <c r="GU75" i="5"/>
  <c r="GU61" i="5"/>
  <c r="GV61" i="5" l="1"/>
  <c r="GV33" i="5"/>
  <c r="GV75" i="5"/>
  <c r="GW72" i="5"/>
  <c r="GW71" i="5"/>
  <c r="GW70" i="5"/>
  <c r="GW69" i="5"/>
  <c r="GW73" i="5"/>
  <c r="GW74" i="5"/>
  <c r="GW67" i="5"/>
  <c r="GW68" i="5"/>
  <c r="GW66" i="5"/>
  <c r="GW63" i="5"/>
  <c r="GW58" i="5"/>
  <c r="GW65" i="5"/>
  <c r="GW59" i="5"/>
  <c r="GW56" i="5"/>
  <c r="GW55" i="5"/>
  <c r="GW64" i="5"/>
  <c r="GW60" i="5"/>
  <c r="GW54" i="5"/>
  <c r="GW49" i="5"/>
  <c r="GW57" i="5"/>
  <c r="GW50" i="5"/>
  <c r="GW44" i="5"/>
  <c r="GW43" i="5"/>
  <c r="GW42" i="5"/>
  <c r="GW41" i="5"/>
  <c r="GW40" i="5"/>
  <c r="GW52" i="5"/>
  <c r="GW46" i="5"/>
  <c r="GW38" i="5"/>
  <c r="GW37" i="5"/>
  <c r="GW36" i="5"/>
  <c r="GW35" i="5"/>
  <c r="GW53" i="5"/>
  <c r="GW51" i="5"/>
  <c r="GW30" i="5"/>
  <c r="GW28" i="5"/>
  <c r="GW27" i="5"/>
  <c r="GW26" i="5"/>
  <c r="GW25" i="5"/>
  <c r="GW24" i="5"/>
  <c r="GW23" i="5"/>
  <c r="GW22" i="5"/>
  <c r="GW21" i="5"/>
  <c r="GW39" i="5"/>
  <c r="GW29" i="5"/>
  <c r="GW31" i="5"/>
  <c r="GW45" i="5"/>
  <c r="GW17" i="5"/>
  <c r="GW16" i="5"/>
  <c r="GW15" i="5"/>
  <c r="GW14" i="5"/>
  <c r="GW13" i="5"/>
  <c r="GW12" i="5"/>
  <c r="GW11" i="5"/>
  <c r="GW10" i="5"/>
  <c r="GW9" i="5"/>
  <c r="GW18" i="5"/>
  <c r="GW8" i="5"/>
  <c r="GW32" i="5"/>
  <c r="GW7" i="5"/>
  <c r="GX5" i="5"/>
  <c r="GW33" i="5" l="1"/>
  <c r="GW61" i="5"/>
  <c r="GW47" i="5"/>
  <c r="GX73" i="5"/>
  <c r="GX72" i="5"/>
  <c r="GX69" i="5"/>
  <c r="GX68" i="5"/>
  <c r="GX67" i="5"/>
  <c r="GX74" i="5"/>
  <c r="GX70" i="5"/>
  <c r="GX71" i="5"/>
  <c r="GX65" i="5"/>
  <c r="GX59" i="5"/>
  <c r="GX56" i="5"/>
  <c r="GX55" i="5"/>
  <c r="GX63" i="5"/>
  <c r="GX75" i="5" s="1"/>
  <c r="GX58" i="5"/>
  <c r="GX60" i="5"/>
  <c r="GX66" i="5"/>
  <c r="GX57" i="5"/>
  <c r="GX64" i="5"/>
  <c r="GX50" i="5"/>
  <c r="GX44" i="5"/>
  <c r="GX43" i="5"/>
  <c r="GX42" i="5"/>
  <c r="GX41" i="5"/>
  <c r="GX40" i="5"/>
  <c r="GX39" i="5"/>
  <c r="GX49" i="5"/>
  <c r="GX54" i="5"/>
  <c r="GX53" i="5"/>
  <c r="GX51" i="5"/>
  <c r="GX52" i="5"/>
  <c r="GX38" i="5"/>
  <c r="GX37" i="5"/>
  <c r="GX36" i="5"/>
  <c r="GX35" i="5"/>
  <c r="GX46" i="5"/>
  <c r="GX45" i="5"/>
  <c r="GX31" i="5"/>
  <c r="GX30" i="5"/>
  <c r="GX28" i="5"/>
  <c r="GX27" i="5"/>
  <c r="GX26" i="5"/>
  <c r="GX25" i="5"/>
  <c r="GX22" i="5"/>
  <c r="GY5" i="5"/>
  <c r="GX17" i="5"/>
  <c r="GX16" i="5"/>
  <c r="GX15" i="5"/>
  <c r="GX14" i="5"/>
  <c r="GX13" i="5"/>
  <c r="GX12" i="5"/>
  <c r="GX11" i="5"/>
  <c r="GX10" i="5"/>
  <c r="GX9" i="5"/>
  <c r="GX32" i="5"/>
  <c r="GX29" i="5"/>
  <c r="GX7" i="5"/>
  <c r="GX24" i="5"/>
  <c r="GX18" i="5"/>
  <c r="GX8" i="5"/>
  <c r="GX21" i="5"/>
  <c r="GX23" i="5"/>
  <c r="GW19" i="5"/>
  <c r="GW75" i="5"/>
  <c r="GX47" i="5" l="1"/>
  <c r="GX33" i="5"/>
  <c r="GY73" i="5"/>
  <c r="GY68" i="5"/>
  <c r="GY67" i="5"/>
  <c r="GY74" i="5"/>
  <c r="GY70" i="5"/>
  <c r="GY71" i="5"/>
  <c r="GY69" i="5"/>
  <c r="GY72" i="5"/>
  <c r="GY65" i="5"/>
  <c r="GY64" i="5"/>
  <c r="GY60" i="5"/>
  <c r="GY59" i="5"/>
  <c r="GY56" i="5"/>
  <c r="GY55" i="5"/>
  <c r="GY54" i="5"/>
  <c r="GY53" i="5"/>
  <c r="GY63" i="5"/>
  <c r="GY46" i="5"/>
  <c r="GY45" i="5"/>
  <c r="GY66" i="5"/>
  <c r="GY57" i="5"/>
  <c r="GY58" i="5"/>
  <c r="GY51" i="5"/>
  <c r="GY50" i="5"/>
  <c r="GY44" i="5"/>
  <c r="GY43" i="5"/>
  <c r="GY42" i="5"/>
  <c r="GY49" i="5"/>
  <c r="GY52" i="5"/>
  <c r="GY41" i="5"/>
  <c r="GY39" i="5"/>
  <c r="GY31" i="5"/>
  <c r="GY38" i="5"/>
  <c r="GY36" i="5"/>
  <c r="GY30" i="5"/>
  <c r="GY17" i="5"/>
  <c r="GY16" i="5"/>
  <c r="GY15" i="5"/>
  <c r="GY14" i="5"/>
  <c r="GY13" i="5"/>
  <c r="GY12" i="5"/>
  <c r="GY11" i="5"/>
  <c r="GY10" i="5"/>
  <c r="GY9" i="5"/>
  <c r="GY8" i="5"/>
  <c r="GY7" i="5"/>
  <c r="GY32" i="5"/>
  <c r="GY28" i="5"/>
  <c r="GY26" i="5"/>
  <c r="GY37" i="5"/>
  <c r="GY23" i="5"/>
  <c r="GY40" i="5"/>
  <c r="GY35" i="5"/>
  <c r="GY47" i="5" s="1"/>
  <c r="GY22" i="5"/>
  <c r="GZ5" i="5"/>
  <c r="GY29" i="5"/>
  <c r="GY25" i="5"/>
  <c r="GY21" i="5"/>
  <c r="GY27" i="5"/>
  <c r="GY18" i="5"/>
  <c r="GY24" i="5"/>
  <c r="GX19" i="5"/>
  <c r="GX61" i="5"/>
  <c r="GY19" i="5" l="1"/>
  <c r="GY75" i="5"/>
  <c r="GY61" i="5"/>
  <c r="GY33" i="5"/>
  <c r="GZ74" i="5"/>
  <c r="GZ73" i="5"/>
  <c r="GZ68" i="5"/>
  <c r="GZ67" i="5"/>
  <c r="GZ66" i="5"/>
  <c r="GZ65" i="5"/>
  <c r="GZ70" i="5"/>
  <c r="GZ71" i="5"/>
  <c r="GZ72" i="5"/>
  <c r="GZ64" i="5"/>
  <c r="GZ63" i="5"/>
  <c r="GZ69" i="5"/>
  <c r="GZ60" i="5"/>
  <c r="GZ59" i="5"/>
  <c r="GZ56" i="5"/>
  <c r="GZ57" i="5"/>
  <c r="GZ58" i="5"/>
  <c r="GZ55" i="5"/>
  <c r="GZ53" i="5"/>
  <c r="GZ52" i="5"/>
  <c r="GZ51" i="5"/>
  <c r="GZ50" i="5"/>
  <c r="GZ45" i="5"/>
  <c r="GZ49" i="5"/>
  <c r="GZ44" i="5"/>
  <c r="GZ54" i="5"/>
  <c r="GZ42" i="5"/>
  <c r="GZ46" i="5"/>
  <c r="GZ31" i="5"/>
  <c r="GZ38" i="5"/>
  <c r="GZ36" i="5"/>
  <c r="GZ43" i="5"/>
  <c r="GZ29" i="5"/>
  <c r="GZ39" i="5"/>
  <c r="GZ32" i="5"/>
  <c r="GZ28" i="5"/>
  <c r="GZ26" i="5"/>
  <c r="GZ37" i="5"/>
  <c r="GZ23" i="5"/>
  <c r="GZ18" i="5"/>
  <c r="GZ30" i="5"/>
  <c r="GZ17" i="5"/>
  <c r="GZ16" i="5"/>
  <c r="GZ15" i="5"/>
  <c r="GZ14" i="5"/>
  <c r="GZ13" i="5"/>
  <c r="GZ12" i="5"/>
  <c r="GZ11" i="5"/>
  <c r="GZ10" i="5"/>
  <c r="GZ9" i="5"/>
  <c r="GZ8" i="5"/>
  <c r="GZ7" i="5"/>
  <c r="GZ19" i="5" s="1"/>
  <c r="GZ41" i="5"/>
  <c r="GZ25" i="5"/>
  <c r="GZ21" i="5"/>
  <c r="HA5" i="5"/>
  <c r="GZ40" i="5"/>
  <c r="GZ35" i="5"/>
  <c r="GZ27" i="5"/>
  <c r="GZ24" i="5"/>
  <c r="GZ22" i="5"/>
  <c r="GZ47" i="5" l="1"/>
  <c r="GZ75" i="5"/>
  <c r="HA73" i="5"/>
  <c r="HA70" i="5"/>
  <c r="HA74" i="5"/>
  <c r="HA72" i="5"/>
  <c r="HA64" i="5"/>
  <c r="HA63" i="5"/>
  <c r="HA75" i="5" s="1"/>
  <c r="HA68" i="5"/>
  <c r="HA65" i="5"/>
  <c r="HA67" i="5"/>
  <c r="HA71" i="5"/>
  <c r="HA60" i="5"/>
  <c r="HA59" i="5"/>
  <c r="HA58" i="5"/>
  <c r="HA57" i="5"/>
  <c r="HA66" i="5"/>
  <c r="HA69" i="5"/>
  <c r="HA55" i="5"/>
  <c r="HA53" i="5"/>
  <c r="HA52" i="5"/>
  <c r="HA51" i="5"/>
  <c r="HA50" i="5"/>
  <c r="HA45" i="5"/>
  <c r="HA56" i="5"/>
  <c r="HA54" i="5"/>
  <c r="HA40" i="5"/>
  <c r="HA39" i="5"/>
  <c r="HA49" i="5"/>
  <c r="HA44" i="5"/>
  <c r="HA38" i="5"/>
  <c r="HA36" i="5"/>
  <c r="HA43" i="5"/>
  <c r="HA42" i="5"/>
  <c r="HA29" i="5"/>
  <c r="HA32" i="5"/>
  <c r="HA46" i="5"/>
  <c r="HA31" i="5"/>
  <c r="HA37" i="5"/>
  <c r="HA23" i="5"/>
  <c r="HA18" i="5"/>
  <c r="HA21" i="5"/>
  <c r="HA28" i="5"/>
  <c r="HA26" i="5"/>
  <c r="HA41" i="5"/>
  <c r="HA30" i="5"/>
  <c r="HA25" i="5"/>
  <c r="HA7" i="5"/>
  <c r="HA19" i="5" s="1"/>
  <c r="HB5" i="5"/>
  <c r="HA16" i="5"/>
  <c r="HA14" i="5"/>
  <c r="HA12" i="5"/>
  <c r="HA10" i="5"/>
  <c r="HA35" i="5"/>
  <c r="HA27" i="5"/>
  <c r="HA15" i="5"/>
  <c r="HA11" i="5"/>
  <c r="HA9" i="5"/>
  <c r="HA24" i="5"/>
  <c r="HA8" i="5"/>
  <c r="HA22" i="5"/>
  <c r="HA17" i="5"/>
  <c r="HA13" i="5"/>
  <c r="GZ61" i="5"/>
  <c r="GZ33" i="5"/>
  <c r="HA47" i="5" l="1"/>
  <c r="HA61" i="5"/>
  <c r="HA33" i="5"/>
  <c r="HB74" i="5"/>
  <c r="HB73" i="5"/>
  <c r="HB69" i="5"/>
  <c r="HB68" i="5"/>
  <c r="HB65" i="5"/>
  <c r="HB72" i="5"/>
  <c r="HB70" i="5"/>
  <c r="HB71" i="5"/>
  <c r="HB60" i="5"/>
  <c r="HB66" i="5"/>
  <c r="HB63" i="5"/>
  <c r="HB59" i="5"/>
  <c r="HB57" i="5"/>
  <c r="HB58" i="5"/>
  <c r="HB53" i="5"/>
  <c r="HB52" i="5"/>
  <c r="HB51" i="5"/>
  <c r="HB50" i="5"/>
  <c r="HB49" i="5"/>
  <c r="HB56" i="5"/>
  <c r="HB55" i="5"/>
  <c r="HB45" i="5"/>
  <c r="HB54" i="5"/>
  <c r="HB32" i="5"/>
  <c r="HB31" i="5"/>
  <c r="HB30" i="5"/>
  <c r="HB29" i="5"/>
  <c r="HB40" i="5"/>
  <c r="HB39" i="5"/>
  <c r="HB67" i="5"/>
  <c r="HB64" i="5"/>
  <c r="HB43" i="5"/>
  <c r="HB42" i="5"/>
  <c r="HB18" i="5"/>
  <c r="HB17" i="5"/>
  <c r="HB38" i="5"/>
  <c r="HB36" i="5"/>
  <c r="HB46" i="5"/>
  <c r="HB21" i="5"/>
  <c r="HB41" i="5"/>
  <c r="HB27" i="5"/>
  <c r="HB25" i="5"/>
  <c r="HB24" i="5"/>
  <c r="HB37" i="5"/>
  <c r="HB23" i="5"/>
  <c r="HC5" i="5"/>
  <c r="HB16" i="5"/>
  <c r="HB14" i="5"/>
  <c r="HB12" i="5"/>
  <c r="HB10" i="5"/>
  <c r="HB35" i="5"/>
  <c r="HB26" i="5"/>
  <c r="HB22" i="5"/>
  <c r="HB44" i="5"/>
  <c r="HB7" i="5"/>
  <c r="HB15" i="5"/>
  <c r="HB13" i="5"/>
  <c r="HB28" i="5"/>
  <c r="HB9" i="5"/>
  <c r="HB8" i="5"/>
  <c r="HB11" i="5"/>
  <c r="HB47" i="5" l="1"/>
  <c r="HB75" i="5"/>
  <c r="HB33" i="5"/>
  <c r="HB61" i="5"/>
  <c r="HB19" i="5"/>
  <c r="HC74" i="5"/>
  <c r="HC72" i="5"/>
  <c r="HC71" i="5"/>
  <c r="HC73" i="5"/>
  <c r="HC66" i="5"/>
  <c r="HC68" i="5"/>
  <c r="HC70" i="5"/>
  <c r="HC57" i="5"/>
  <c r="HC60" i="5"/>
  <c r="HC69" i="5"/>
  <c r="HC65" i="5"/>
  <c r="HC63" i="5"/>
  <c r="HC59" i="5"/>
  <c r="HC56" i="5"/>
  <c r="HC54" i="5"/>
  <c r="HC67" i="5"/>
  <c r="HC58" i="5"/>
  <c r="HC53" i="5"/>
  <c r="HC52" i="5"/>
  <c r="HC51" i="5"/>
  <c r="HC50" i="5"/>
  <c r="HC46" i="5"/>
  <c r="HC45" i="5"/>
  <c r="HC40" i="5"/>
  <c r="HC39" i="5"/>
  <c r="HC64" i="5"/>
  <c r="HC43" i="5"/>
  <c r="HC38" i="5"/>
  <c r="HC37" i="5"/>
  <c r="HC36" i="5"/>
  <c r="HC35" i="5"/>
  <c r="HC55" i="5"/>
  <c r="HC49" i="5"/>
  <c r="HC29" i="5"/>
  <c r="HC32" i="5"/>
  <c r="HC44" i="5"/>
  <c r="HC28" i="5"/>
  <c r="HC27" i="5"/>
  <c r="HC26" i="5"/>
  <c r="HC25" i="5"/>
  <c r="HC42" i="5"/>
  <c r="HC31" i="5"/>
  <c r="HC21" i="5"/>
  <c r="HC18" i="5"/>
  <c r="HC41" i="5"/>
  <c r="HC24" i="5"/>
  <c r="HC16" i="5"/>
  <c r="HC14" i="5"/>
  <c r="HC12" i="5"/>
  <c r="HC10" i="5"/>
  <c r="HC22" i="5"/>
  <c r="HC30" i="5"/>
  <c r="HD5" i="5"/>
  <c r="HC13" i="5"/>
  <c r="HC7" i="5"/>
  <c r="HC9" i="5"/>
  <c r="HC8" i="5"/>
  <c r="HC11" i="5"/>
  <c r="HC23" i="5"/>
  <c r="HC17" i="5"/>
  <c r="HC15" i="5"/>
  <c r="HC19" i="5" l="1"/>
  <c r="HC47" i="5"/>
  <c r="HD74" i="5"/>
  <c r="HD72" i="5"/>
  <c r="HD71" i="5"/>
  <c r="HD69" i="5"/>
  <c r="HD73" i="5"/>
  <c r="HD68" i="5"/>
  <c r="HD66" i="5"/>
  <c r="HD70" i="5"/>
  <c r="HD67" i="5"/>
  <c r="HD64" i="5"/>
  <c r="HD63" i="5"/>
  <c r="HD57" i="5"/>
  <c r="HD60" i="5"/>
  <c r="HD58" i="5"/>
  <c r="HD56" i="5"/>
  <c r="HD59" i="5"/>
  <c r="HD54" i="5"/>
  <c r="HD65" i="5"/>
  <c r="HD51" i="5"/>
  <c r="HD46" i="5"/>
  <c r="HD49" i="5"/>
  <c r="HD44" i="5"/>
  <c r="HD43" i="5"/>
  <c r="HD42" i="5"/>
  <c r="HD41" i="5"/>
  <c r="HD38" i="5"/>
  <c r="HD37" i="5"/>
  <c r="HD36" i="5"/>
  <c r="HD35" i="5"/>
  <c r="HD53" i="5"/>
  <c r="HD55" i="5"/>
  <c r="HD52" i="5"/>
  <c r="HD50" i="5"/>
  <c r="HD40" i="5"/>
  <c r="HD39" i="5"/>
  <c r="HD32" i="5"/>
  <c r="HD45" i="5"/>
  <c r="HD28" i="5"/>
  <c r="HD27" i="5"/>
  <c r="HD26" i="5"/>
  <c r="HD25" i="5"/>
  <c r="HD30" i="5"/>
  <c r="HD29" i="5"/>
  <c r="HD24" i="5"/>
  <c r="HD22" i="5"/>
  <c r="HD31" i="5"/>
  <c r="HD21" i="5"/>
  <c r="HD18" i="5"/>
  <c r="HD16" i="5"/>
  <c r="HD14" i="5"/>
  <c r="HD12" i="5"/>
  <c r="HD10" i="5"/>
  <c r="HD9" i="5"/>
  <c r="HD13" i="5"/>
  <c r="HD15" i="5"/>
  <c r="HD8" i="5"/>
  <c r="HD23" i="5"/>
  <c r="HD17" i="5"/>
  <c r="HD11" i="5"/>
  <c r="HE5" i="5"/>
  <c r="HD7" i="5"/>
  <c r="HC33" i="5"/>
  <c r="HC61" i="5"/>
  <c r="HC75" i="5"/>
  <c r="HD19" i="5" l="1"/>
  <c r="HD61" i="5"/>
  <c r="HD75" i="5"/>
  <c r="HD47" i="5"/>
  <c r="HE72" i="5"/>
  <c r="HE71" i="5"/>
  <c r="HE70" i="5"/>
  <c r="HE69" i="5"/>
  <c r="HE74" i="5"/>
  <c r="HE73" i="5"/>
  <c r="HE66" i="5"/>
  <c r="HE67" i="5"/>
  <c r="HE64" i="5"/>
  <c r="HE63" i="5"/>
  <c r="HE68" i="5"/>
  <c r="HE65" i="5"/>
  <c r="HE60" i="5"/>
  <c r="HE58" i="5"/>
  <c r="HE56" i="5"/>
  <c r="HE55" i="5"/>
  <c r="HE57" i="5"/>
  <c r="HE59" i="5"/>
  <c r="HE54" i="5"/>
  <c r="HE51" i="5"/>
  <c r="HE46" i="5"/>
  <c r="HE49" i="5"/>
  <c r="HE44" i="5"/>
  <c r="HE43" i="5"/>
  <c r="HE42" i="5"/>
  <c r="HE41" i="5"/>
  <c r="HE40" i="5"/>
  <c r="HE53" i="5"/>
  <c r="HE38" i="5"/>
  <c r="HE37" i="5"/>
  <c r="HE36" i="5"/>
  <c r="HE35" i="5"/>
  <c r="HE52" i="5"/>
  <c r="HE50" i="5"/>
  <c r="HE45" i="5"/>
  <c r="HE28" i="5"/>
  <c r="HE27" i="5"/>
  <c r="HE26" i="5"/>
  <c r="HE25" i="5"/>
  <c r="HE24" i="5"/>
  <c r="HE23" i="5"/>
  <c r="HE22" i="5"/>
  <c r="HE21" i="5"/>
  <c r="HE30" i="5"/>
  <c r="HE32" i="5"/>
  <c r="HE39" i="5"/>
  <c r="HE16" i="5"/>
  <c r="HE15" i="5"/>
  <c r="HE14" i="5"/>
  <c r="HE13" i="5"/>
  <c r="HE12" i="5"/>
  <c r="HE11" i="5"/>
  <c r="HE10" i="5"/>
  <c r="HE9" i="5"/>
  <c r="HE31" i="5"/>
  <c r="HE29" i="5"/>
  <c r="HE8" i="5"/>
  <c r="HE7" i="5"/>
  <c r="HF5" i="5"/>
  <c r="HE18" i="5"/>
  <c r="HE17" i="5"/>
  <c r="HD33" i="5"/>
  <c r="HE75" i="5" l="1"/>
  <c r="HF74" i="5"/>
  <c r="HF73" i="5"/>
  <c r="HF69" i="5"/>
  <c r="HF71" i="5"/>
  <c r="HF68" i="5"/>
  <c r="HF67" i="5"/>
  <c r="HF72" i="5"/>
  <c r="HF70" i="5"/>
  <c r="HF66" i="5"/>
  <c r="HF64" i="5"/>
  <c r="HF63" i="5"/>
  <c r="HF65" i="5"/>
  <c r="HF58" i="5"/>
  <c r="HF56" i="5"/>
  <c r="HF55" i="5"/>
  <c r="HF60" i="5"/>
  <c r="HF59" i="5"/>
  <c r="HF57" i="5"/>
  <c r="HF54" i="5"/>
  <c r="HF49" i="5"/>
  <c r="HF44" i="5"/>
  <c r="HF43" i="5"/>
  <c r="HF42" i="5"/>
  <c r="HF41" i="5"/>
  <c r="HF40" i="5"/>
  <c r="HF39" i="5"/>
  <c r="HF53" i="5"/>
  <c r="HF52" i="5"/>
  <c r="HF51" i="5"/>
  <c r="HF46" i="5"/>
  <c r="HF45" i="5"/>
  <c r="HF50" i="5"/>
  <c r="HF38" i="5"/>
  <c r="HF37" i="5"/>
  <c r="HF36" i="5"/>
  <c r="HF35" i="5"/>
  <c r="HF30" i="5"/>
  <c r="HF28" i="5"/>
  <c r="HF27" i="5"/>
  <c r="HF26" i="5"/>
  <c r="HF25" i="5"/>
  <c r="HG5" i="5"/>
  <c r="HF22" i="5"/>
  <c r="HF16" i="5"/>
  <c r="HF15" i="5"/>
  <c r="HF14" i="5"/>
  <c r="HF13" i="5"/>
  <c r="HF12" i="5"/>
  <c r="HF11" i="5"/>
  <c r="HF10" i="5"/>
  <c r="HF9" i="5"/>
  <c r="HF17" i="5"/>
  <c r="HF32" i="5"/>
  <c r="HF24" i="5"/>
  <c r="HF21" i="5"/>
  <c r="HF33" i="5" s="1"/>
  <c r="HF8" i="5"/>
  <c r="HF23" i="5"/>
  <c r="HF31" i="5"/>
  <c r="HF29" i="5"/>
  <c r="HF18" i="5"/>
  <c r="HF7" i="5"/>
  <c r="HE33" i="5"/>
  <c r="HE19" i="5"/>
  <c r="HE47" i="5"/>
  <c r="HE61" i="5"/>
  <c r="HF19" i="5" l="1"/>
  <c r="HF47" i="5"/>
  <c r="HG73" i="5"/>
  <c r="HG74" i="5"/>
  <c r="HG69" i="5"/>
  <c r="HG71" i="5"/>
  <c r="HG68" i="5"/>
  <c r="HG67" i="5"/>
  <c r="HG72" i="5"/>
  <c r="HG64" i="5"/>
  <c r="HG63" i="5"/>
  <c r="HG70" i="5"/>
  <c r="HG66" i="5"/>
  <c r="HG65" i="5"/>
  <c r="HG60" i="5"/>
  <c r="HG59" i="5"/>
  <c r="HG56" i="5"/>
  <c r="HG55" i="5"/>
  <c r="HG54" i="5"/>
  <c r="HG53" i="5"/>
  <c r="HG58" i="5"/>
  <c r="HG46" i="5"/>
  <c r="HG45" i="5"/>
  <c r="HG57" i="5"/>
  <c r="HG52" i="5"/>
  <c r="HG49" i="5"/>
  <c r="HG44" i="5"/>
  <c r="HG43" i="5"/>
  <c r="HG50" i="5"/>
  <c r="HG41" i="5"/>
  <c r="HG51" i="5"/>
  <c r="HG40" i="5"/>
  <c r="HG37" i="5"/>
  <c r="HG35" i="5"/>
  <c r="HG31" i="5"/>
  <c r="HG30" i="5"/>
  <c r="HG39" i="5"/>
  <c r="HG22" i="5"/>
  <c r="HG16" i="5"/>
  <c r="HG15" i="5"/>
  <c r="HG14" i="5"/>
  <c r="HG13" i="5"/>
  <c r="HG12" i="5"/>
  <c r="HG11" i="5"/>
  <c r="HG10" i="5"/>
  <c r="HG9" i="5"/>
  <c r="HG8" i="5"/>
  <c r="HG7" i="5"/>
  <c r="HG19" i="5" s="1"/>
  <c r="HG38" i="5"/>
  <c r="HG27" i="5"/>
  <c r="HG25" i="5"/>
  <c r="HG17" i="5"/>
  <c r="HG42" i="5"/>
  <c r="HH5" i="5"/>
  <c r="HG36" i="5"/>
  <c r="HG32" i="5"/>
  <c r="HG26" i="5"/>
  <c r="HG23" i="5"/>
  <c r="HG28" i="5"/>
  <c r="HG21" i="5"/>
  <c r="HG18" i="5"/>
  <c r="HG24" i="5"/>
  <c r="HG29" i="5"/>
  <c r="HF75" i="5"/>
  <c r="HF61" i="5"/>
  <c r="HG75" i="5" l="1"/>
  <c r="HH74" i="5"/>
  <c r="HH73" i="5"/>
  <c r="HH71" i="5"/>
  <c r="HH68" i="5"/>
  <c r="HH67" i="5"/>
  <c r="HH66" i="5"/>
  <c r="HH65" i="5"/>
  <c r="HH72" i="5"/>
  <c r="HH70" i="5"/>
  <c r="HH64" i="5"/>
  <c r="HH63" i="5"/>
  <c r="HH60" i="5"/>
  <c r="HH59" i="5"/>
  <c r="HH56" i="5"/>
  <c r="HH52" i="5"/>
  <c r="HH51" i="5"/>
  <c r="HH50" i="5"/>
  <c r="HH69" i="5"/>
  <c r="HH58" i="5"/>
  <c r="HH53" i="5"/>
  <c r="HH54" i="5"/>
  <c r="HH57" i="5"/>
  <c r="HH43" i="5"/>
  <c r="HH45" i="5"/>
  <c r="HH41" i="5"/>
  <c r="HH46" i="5"/>
  <c r="HH42" i="5"/>
  <c r="HH55" i="5"/>
  <c r="HH49" i="5"/>
  <c r="HH44" i="5"/>
  <c r="HH40" i="5"/>
  <c r="HH37" i="5"/>
  <c r="HH35" i="5"/>
  <c r="HH31" i="5"/>
  <c r="HH38" i="5"/>
  <c r="HH27" i="5"/>
  <c r="HH25" i="5"/>
  <c r="HH17" i="5"/>
  <c r="HH29" i="5"/>
  <c r="HH23" i="5"/>
  <c r="HH39" i="5"/>
  <c r="HH22" i="5"/>
  <c r="HH16" i="5"/>
  <c r="HH15" i="5"/>
  <c r="HH14" i="5"/>
  <c r="HH13" i="5"/>
  <c r="HH12" i="5"/>
  <c r="HH11" i="5"/>
  <c r="HH10" i="5"/>
  <c r="HH9" i="5"/>
  <c r="HH8" i="5"/>
  <c r="HH7" i="5"/>
  <c r="HH26" i="5"/>
  <c r="HH24" i="5"/>
  <c r="HH18" i="5"/>
  <c r="HH28" i="5"/>
  <c r="HH36" i="5"/>
  <c r="HH32" i="5"/>
  <c r="HH21" i="5"/>
  <c r="HH30" i="5"/>
  <c r="HG47" i="5"/>
  <c r="HG61" i="5"/>
  <c r="HG33" i="5"/>
  <c r="HH19" i="5" l="1"/>
  <c r="D19" i="5" s="1"/>
  <c r="HH61" i="5"/>
  <c r="D61" i="5" s="1"/>
  <c r="HH33" i="5"/>
  <c r="D33" i="5" s="1"/>
  <c r="HH47" i="5"/>
  <c r="D47" i="5" s="1"/>
  <c r="HH75" i="5"/>
  <c r="D7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Abdullah Mahmood</author>
  </authors>
  <commentList>
    <comment ref="F5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Abdullah Mahmood:
2 days</t>
        </r>
      </text>
    </comment>
    <comment ref="F12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Abdullah Mahmood:
10 days</t>
        </r>
      </text>
    </comment>
  </commentList>
</comments>
</file>

<file path=xl/sharedStrings.xml><?xml version="1.0" encoding="utf-8"?>
<sst xmlns="http://schemas.openxmlformats.org/spreadsheetml/2006/main" count="632" uniqueCount="417">
  <si>
    <t>Year</t>
  </si>
  <si>
    <t>New Events</t>
  </si>
  <si>
    <t>Asset</t>
  </si>
  <si>
    <t>Asset Days (Mean)</t>
  </si>
  <si>
    <t>Asset Days (Median)</t>
  </si>
  <si>
    <t>Signed (Mean)</t>
  </si>
  <si>
    <t>Signed (Median)</t>
  </si>
  <si>
    <t>Cabins</t>
  </si>
  <si>
    <t>Buggies</t>
  </si>
  <si>
    <t>Barriers</t>
  </si>
  <si>
    <t>Fencing</t>
  </si>
  <si>
    <t>Flooring</t>
  </si>
  <si>
    <t>MODEL ASSUMPTIONS</t>
  </si>
  <si>
    <t xml:space="preserve">Blue = input  |  Green = linked value | Black = calculation | Yellow = verify </t>
  </si>
  <si>
    <t>GENERAL</t>
  </si>
  <si>
    <t>Analysis start year</t>
  </si>
  <si>
    <t>Fiscal Year 1 (October 2026 to September 2027)</t>
  </si>
  <si>
    <t>Season start date</t>
  </si>
  <si>
    <t>Currency</t>
  </si>
  <si>
    <t>AED</t>
  </si>
  <si>
    <t>DEMAND ASSUMPTIONS</t>
  </si>
  <si>
    <t>FY1 event pipeline count</t>
  </si>
  <si>
    <t>From 'FY1 Event Pipeline' sheet</t>
  </si>
  <si>
    <t>Target coverage of peak concurrency - Cabins</t>
  </si>
  <si>
    <t>Percentile of probability-adjusted peak owned in fleet</t>
  </si>
  <si>
    <t>Target coverage of peak concurrency - Buggies</t>
  </si>
  <si>
    <t>Target coverage of peak concurrency - Barriers</t>
  </si>
  <si>
    <t>Target coverage of peak concurrency - Fencing</t>
  </si>
  <si>
    <t>Target coverage of peak concurrency - Terratrak</t>
  </si>
  <si>
    <t>Events % growth YoY</t>
  </si>
  <si>
    <t>- 10% growth in annual events - conservative assumption for outdoor festivals, concerts, and public-events (projected 10-16% CAGR). 
-  Growth rate drives peak concurrency (thus fleet growth) &amp; cabin-days deployed</t>
  </si>
  <si>
    <t>REVENUE - RENTAL RATES (DAILY)</t>
  </si>
  <si>
    <t>Revenue per cabin per day</t>
  </si>
  <si>
    <t>approx. 10,000/30 day event rate rounded up as peak daily rate</t>
  </si>
  <si>
    <t>Revenue per buggy per day</t>
  </si>
  <si>
    <t>Daily rental rate from original model (ensure this isn't rented out in weekly slabs)</t>
  </si>
  <si>
    <t>Revenue per barrier per day</t>
  </si>
  <si>
    <t>AED 0.4/day rate per barrier - monthly-slab rental @ AED 12/barrier/month</t>
  </si>
  <si>
    <t>Revenue per fencing per day</t>
  </si>
  <si>
    <t>AED 1.83/day rate per fencing - monthly-slab rental @ AED 55/fence/month</t>
  </si>
  <si>
    <t>Revenue per flooring per day</t>
  </si>
  <si>
    <t>AED 30/day rate per flooring - monthly-slab rental @ AED 900/floor/month</t>
  </si>
  <si>
    <t>Rental Rate Growth?</t>
  </si>
  <si>
    <t>CAPEX</t>
  </si>
  <si>
    <t>Cabin useful life (years)</t>
  </si>
  <si>
    <t>8 years, straight-line</t>
  </si>
  <si>
    <t>Cabin residual value (% of CapEx)</t>
  </si>
  <si>
    <t>20% residual at end of useful life</t>
  </si>
  <si>
    <t>Cabin annual maintenance (% of CapEx p.a.)</t>
  </si>
  <si>
    <t>2.5% of gross capex</t>
  </si>
  <si>
    <t>Buggie cost per unit</t>
  </si>
  <si>
    <t>Avg. all-in cost</t>
  </si>
  <si>
    <t>Buggie useful life (years)</t>
  </si>
  <si>
    <t>10 years, straight-line</t>
  </si>
  <si>
    <t>Buggie residual value (% of CapEx)</t>
  </si>
  <si>
    <t>30% residual at end of useful life</t>
  </si>
  <si>
    <t>Buggie annual maintenance (% of CapEx p.a.)</t>
  </si>
  <si>
    <t>Barrier cost per unit</t>
  </si>
  <si>
    <t>Fencing cost per unit</t>
  </si>
  <si>
    <t>Barriers &amp; Fencing useful life (years)</t>
  </si>
  <si>
    <t>Barriers &amp; Fencing residual value (% of CapEx)</t>
  </si>
  <si>
    <t>40% residual at end of useful life</t>
  </si>
  <si>
    <t>Barriers &amp; Fencing annual maintenance (% of CapEx p.a.)</t>
  </si>
  <si>
    <t>0.5% of gross capex</t>
  </si>
  <si>
    <t>Flooring cost per unit (Terratrak)</t>
  </si>
  <si>
    <t>Flooring useful life (years)</t>
  </si>
  <si>
    <t>Flooring residual value (% of CapEx)</t>
  </si>
  <si>
    <t>10% residual at end of useful life</t>
  </si>
  <si>
    <t>Flooring annual maintenance (% of CapEx p.a.)</t>
  </si>
  <si>
    <t>Material cost inflation</t>
  </si>
  <si>
    <t>2.0% Y-o-Y unit price escalation</t>
  </si>
  <si>
    <t>OPEX / OVERHEAD</t>
  </si>
  <si>
    <t>Cabin Storage Yard Rental</t>
  </si>
  <si>
    <t>Price (AED) per sqft per year</t>
  </si>
  <si>
    <t>% Circulation</t>
  </si>
  <si>
    <t>Hot desk rent / head / month</t>
  </si>
  <si>
    <t xml:space="preserve"> Avg. cost of a fixed seat in a shared, coworking environment.</t>
  </si>
  <si>
    <t>Marketing budget per month</t>
  </si>
  <si>
    <t>DEWA + utilities / month</t>
  </si>
  <si>
    <t>Buggie charging, lighting, cleaning, repairs, temperature moderation</t>
  </si>
  <si>
    <t>Insurance (fleet + liability)</t>
  </si>
  <si>
    <t>Verify</t>
  </si>
  <si>
    <t>Misc / contingency</t>
  </si>
  <si>
    <t>From original model</t>
  </si>
  <si>
    <t>Overhead escalation (% p.a.)</t>
  </si>
  <si>
    <t>Utilities, insurance, office rent &amp; contingency</t>
  </si>
  <si>
    <t>FINANCIAL YEAR 1 EVENT PIPELINE</t>
  </si>
  <si>
    <t>List of all the events in the FY 2026-2027 pipeline | Model assumes all assets are on hire upon delivery at mobilization start date until the demobilization end date | The events and asset demand form the basis for the demand distribution</t>
  </si>
  <si>
    <t>Event</t>
  </si>
  <si>
    <t>Venue</t>
  </si>
  <si>
    <t>Win Rate</t>
  </si>
  <si>
    <t>Live Open</t>
  </si>
  <si>
    <t>Live Close</t>
  </si>
  <si>
    <t>Days Live</t>
  </si>
  <si>
    <t>Days Mob</t>
  </si>
  <si>
    <t>Mob Start</t>
  </si>
  <si>
    <t>Days Demob</t>
  </si>
  <si>
    <t>Demob End</t>
  </si>
  <si>
    <t>Paid Hire Days</t>
  </si>
  <si>
    <t>Monthly-Slabs</t>
  </si>
  <si>
    <t>Weekly-Slabs</t>
  </si>
  <si>
    <t>Terratrak</t>
  </si>
  <si>
    <t>Python Tuple Input</t>
  </si>
  <si>
    <t>Saadiyat Nights</t>
  </si>
  <si>
    <t>Saadiyat Island open-air</t>
  </si>
  <si>
    <t>BRED X</t>
  </si>
  <si>
    <t>Yas Marina Circuit / TBC</t>
  </si>
  <si>
    <t>MOTN DHA</t>
  </si>
  <si>
    <t>Al Dhafra</t>
  </si>
  <si>
    <t>No Art UAE</t>
  </si>
  <si>
    <t>Saadiyat Island / TBC</t>
  </si>
  <si>
    <t>Tanweer Festival</t>
  </si>
  <si>
    <t>Mleiha Desert, Sharjah</t>
  </si>
  <si>
    <t>MOTN AAN</t>
  </si>
  <si>
    <t>Al Ain</t>
  </si>
  <si>
    <t>F1 Afterparty</t>
  </si>
  <si>
    <t>Yas Marina Circuit, Yas Island</t>
  </si>
  <si>
    <t>MOTN AUH</t>
  </si>
  <si>
    <t>Abu Dhabi Corniche</t>
  </si>
  <si>
    <t>Yas Winterfest</t>
  </si>
  <si>
    <t>Yas Gateway Park, Yas Island</t>
  </si>
  <si>
    <t>Animenia</t>
  </si>
  <si>
    <t>Manarat Al Saadiyat</t>
  </si>
  <si>
    <t>DAZ</t>
  </si>
  <si>
    <t>Al Jahili Park, Al Ain</t>
  </si>
  <si>
    <t>BRED</t>
  </si>
  <si>
    <t>Mean</t>
  </si>
  <si>
    <t>Calendar Start</t>
  </si>
  <si>
    <t>Median</t>
  </si>
  <si>
    <t>FY1 (2026-2027) Concurrent Demand Curve</t>
  </si>
  <si>
    <t>HUMAN RESOURCES</t>
  </si>
  <si>
    <t>Personnel Count</t>
  </si>
  <si>
    <t>Position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</si>
  <si>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</si>
  <si>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</si>
  <si>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</si>
  <si>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</si>
  <si>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</si>
  <si>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</si>
  <si>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</si>
  <si>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</si>
  <si>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General Manager (to hire)</t>
  </si>
  <si>
    <t>Sales Manager</t>
  </si>
  <si>
    <t>Accountant</t>
  </si>
  <si>
    <t>Operations Manager</t>
  </si>
  <si>
    <t>Plumber</t>
  </si>
  <si>
    <t>Electrician</t>
  </si>
  <si>
    <t>Admin</t>
  </si>
  <si>
    <t>Salary/Personnel</t>
  </si>
  <si>
    <t>Monthly</t>
  </si>
  <si>
    <t>% Esc.</t>
  </si>
  <si>
    <t>Total Salary</t>
  </si>
  <si>
    <t>SUMMARY</t>
  </si>
  <si>
    <t>Annual Salary</t>
  </si>
  <si>
    <t>Office Desks</t>
  </si>
  <si>
    <t>Desks needed</t>
  </si>
  <si>
    <t>Annual rent per seat</t>
  </si>
  <si>
    <t>Total rental cost</t>
  </si>
  <si>
    <t>CAPEX &amp; STORAGE</t>
  </si>
  <si>
    <t>SIMULATED ASSET REQUIREMENT</t>
  </si>
  <si>
    <t>ASSET PURCHASE: unit list &amp; quantities by year</t>
  </si>
  <si>
    <t>Unit Price</t>
  </si>
  <si>
    <t>Coverage Pct. (Fleet Sizing)</t>
  </si>
  <si>
    <t>Cumulative
Total Units</t>
  </si>
  <si>
    <t>Total CaPex</t>
  </si>
  <si>
    <t>Cabin CapEx</t>
  </si>
  <si>
    <t>Buggies Yearly CapEx</t>
  </si>
  <si>
    <t>Barriers CapEx</t>
  </si>
  <si>
    <t>Fencing CapEx</t>
  </si>
  <si>
    <t>Terratrak CapEx</t>
  </si>
  <si>
    <t>CABINS: unit list, quantities by year, and storage footprint</t>
  </si>
  <si>
    <t>Cabin Type</t>
  </si>
  <si>
    <t>Description</t>
  </si>
  <si>
    <t>Unit Price
(AED)</t>
  </si>
  <si>
    <t>Floor Area
(sqm)</t>
  </si>
  <si>
    <t>Total CapEx</t>
  </si>
  <si>
    <t>20 Ft Office</t>
  </si>
  <si>
    <t>Open Layout (1 Door)</t>
  </si>
  <si>
    <t>Open Layout (2 Doors)</t>
  </si>
  <si>
    <t>40 Ft Office</t>
  </si>
  <si>
    <t>Open Layout (2 Windows)</t>
  </si>
  <si>
    <t>Open Layout (Multi-window)</t>
  </si>
  <si>
    <t>40 Ft Split</t>
  </si>
  <si>
    <t>2 Offices</t>
  </si>
  <si>
    <t>2 Offices + Toilet + Pantry</t>
  </si>
  <si>
    <t>20 Ft Ticketing</t>
  </si>
  <si>
    <t>Counter + 5 Windows</t>
  </si>
  <si>
    <t>40 Ft Ticketing</t>
  </si>
  <si>
    <t>Counter + 9 Windows</t>
  </si>
  <si>
    <t>40 Ft Toilet (Male)</t>
  </si>
  <si>
    <t>With Urinals + Baseframe + Stairs + Tanks</t>
  </si>
  <si>
    <t>40 Ft Toilet (Female)</t>
  </si>
  <si>
    <t>Baseframe + Stairs + Tanks</t>
  </si>
  <si>
    <t>40 Ft Toilet (Split)</t>
  </si>
  <si>
    <t>Half Male / Half Female + Baseframe + Stairs + Tanks</t>
  </si>
  <si>
    <t>20 Ft Toilet (Male)</t>
  </si>
  <si>
    <t>20 Ft Toilet (Female)</t>
  </si>
  <si>
    <t>20 Ft Shower Unit</t>
  </si>
  <si>
    <t>With Showers + Baseframe + Stairs + Tanks</t>
  </si>
  <si>
    <t>8 Ft POD</t>
  </si>
  <si>
    <t>POD &amp; Baby Changing</t>
  </si>
  <si>
    <t>40 Ft Premium</t>
  </si>
  <si>
    <t>No Toilet &amp; Pantry</t>
  </si>
  <si>
    <t>With Toilet &amp; Pantry + Baseframe + Stairs + Tanks</t>
  </si>
  <si>
    <t>CABIN SUMMARY</t>
  </si>
  <si>
    <t>Cumulative fleet</t>
  </si>
  <si>
    <t>Running total of all units acquired</t>
  </si>
  <si>
    <t>Cumulative fleet - check</t>
  </si>
  <si>
    <t>Units Added</t>
  </si>
  <si>
    <t>YoY unit growth</t>
  </si>
  <si>
    <t>Yearly CapEx (AED)</t>
  </si>
  <si>
    <t>Unit price inflation applied per year</t>
  </si>
  <si>
    <t>COMBINED TOTAL CAPEX</t>
  </si>
  <si>
    <t>→ CapEx requiring funding</t>
  </si>
  <si>
    <t>STORAGE &amp; YARD COST ANALYSIS</t>
  </si>
  <si>
    <t>Stacking factor</t>
  </si>
  <si>
    <t>1 = no stack  |  2 = double-stack  |  3 = triple-stack</t>
  </si>
  <si>
    <t>Yard rent (AED/sqft per year)</t>
  </si>
  <si>
    <t>Cabin gross footprint (unstacked) + % Circulation (sqm)</t>
  </si>
  <si>
    <t>Cabin gross footprint (unstacked) + % Circulation (sqft)</t>
  </si>
  <si>
    <t>Buggie gross footprint (sqft)</t>
  </si>
  <si>
    <t>Avg. Dim: 3m x 1.6m - 4.8m2</t>
  </si>
  <si>
    <t>Effective storage footprint (after stacking)</t>
  </si>
  <si>
    <t>Annual storage cost</t>
  </si>
  <si>
    <t>Stacking scenario comparison</t>
  </si>
  <si>
    <t>Area</t>
  </si>
  <si>
    <t>Price/Year</t>
  </si>
  <si>
    <t>No stacking (worst case)</t>
  </si>
  <si>
    <t>Double-stacked (÷2)</t>
  </si>
  <si>
    <t>Triple-stacked (÷3)</t>
  </si>
  <si>
    <t>EVENT UTILISATION TIMELINE │  green = Mobilisation,  red = Live event, blue = Demobilisation</t>
  </si>
  <si>
    <t>2026</t>
  </si>
  <si>
    <t>2027</t>
  </si>
  <si>
    <t>Month</t>
  </si>
  <si>
    <t>Oct</t>
  </si>
  <si>
    <t>Nov</t>
  </si>
  <si>
    <t>Dec</t>
  </si>
  <si>
    <t>Jan</t>
  </si>
  <si>
    <t>Feb</t>
  </si>
  <si>
    <t>Mar</t>
  </si>
  <si>
    <t>Apr</t>
  </si>
  <si>
    <t>Day</t>
  </si>
  <si>
    <t>Date</t>
  </si>
  <si>
    <t>CABINS</t>
  </si>
  <si>
    <t>Start</t>
  </si>
  <si>
    <t>End</t>
  </si>
  <si>
    <t>Count</t>
  </si>
  <si>
    <t>MAX CABINS ON-HIRE</t>
  </si>
  <si>
    <t>BUGGIES</t>
  </si>
  <si>
    <t>MAX BUGGIES ON-HIRE</t>
  </si>
  <si>
    <t>BARRIERS</t>
  </si>
  <si>
    <t>MAX BARRIERS ON-HIRE</t>
  </si>
  <si>
    <t>FENCING</t>
  </si>
  <si>
    <t>MAX FENCING ON-HIRE</t>
  </si>
  <si>
    <t>TERRATRAK</t>
  </si>
  <si>
    <t>MAX TERRATRAK ON-HIRE</t>
  </si>
  <si>
    <t>STRAIGHT-LINE DEPRECIATION SCHEDULE</t>
  </si>
  <si>
    <t>Each capex tranche depreciated independently from acquisition year. CapEx pulled from CapEx &amp; Storage sheet.</t>
  </si>
  <si>
    <t>Asset Group</t>
  </si>
  <si>
    <t>CapEx
(AED)</t>
  </si>
  <si>
    <t>Acquisition
Year</t>
  </si>
  <si>
    <t>Life
(yrs)</t>
  </si>
  <si>
    <t>Residual
%</t>
  </si>
  <si>
    <t>Depreciable
Base</t>
  </si>
  <si>
    <t>Annual
Dep'n</t>
  </si>
  <si>
    <t>Cabins - Y1 fleet</t>
  </si>
  <si>
    <t>Cabins - Y2 additions</t>
  </si>
  <si>
    <t>Cabins - Y3 additions</t>
  </si>
  <si>
    <t>Cabins - Y4 additions</t>
  </si>
  <si>
    <t>Cabins - Y5 additions</t>
  </si>
  <si>
    <t>Cabins - Y6 additions</t>
  </si>
  <si>
    <t>Cabins - Y7 additions</t>
  </si>
  <si>
    <t>Cabins - Y8 additions</t>
  </si>
  <si>
    <t>Buggies - Y1 fleet</t>
  </si>
  <si>
    <t>Buggies - Y2 additions</t>
  </si>
  <si>
    <t>Buggies - Y3 additions</t>
  </si>
  <si>
    <t>Buggies - Y4 additions</t>
  </si>
  <si>
    <t>Buggies - Y5 additions</t>
  </si>
  <si>
    <t>Buggies - Y6 additions</t>
  </si>
  <si>
    <t>Buggies - Y7 additions</t>
  </si>
  <si>
    <t>Buggies - Y8 additions</t>
  </si>
  <si>
    <t>Barriers - Y1 fleet</t>
  </si>
  <si>
    <t>Barriers - Y2 additions</t>
  </si>
  <si>
    <t>Barriers - Y3 additions</t>
  </si>
  <si>
    <t>Barriers - Y4 additions</t>
  </si>
  <si>
    <t>Barriers - Y5 additions</t>
  </si>
  <si>
    <t>Barriers - Y6 additions</t>
  </si>
  <si>
    <t>Barriers - Y7 additions</t>
  </si>
  <si>
    <t>Barriers - Y8 additions</t>
  </si>
  <si>
    <t>Fencing - Y1 fleet</t>
  </si>
  <si>
    <t>Fencing - Y2 additions</t>
  </si>
  <si>
    <t>Fencing - Y3 additions</t>
  </si>
  <si>
    <t>Fencing - Y4 additions</t>
  </si>
  <si>
    <t>Fencing - Y5 additions</t>
  </si>
  <si>
    <t>Fencing - Y6 additions</t>
  </si>
  <si>
    <t>Fencing - Y7 additions</t>
  </si>
  <si>
    <t>Fencing - Y8 additions</t>
  </si>
  <si>
    <t>Flooring - Y1 fleet</t>
  </si>
  <si>
    <t>Flooring - Y2 additions</t>
  </si>
  <si>
    <t>Flooring - Y3 additions</t>
  </si>
  <si>
    <t>Flooring - Y4 additions</t>
  </si>
  <si>
    <t>Flooring - Y5 additions</t>
  </si>
  <si>
    <t>Flooring - Y6 additions</t>
  </si>
  <si>
    <t>Flooring - Y7 additions</t>
  </si>
  <si>
    <t>Flooring - Y8 additions</t>
  </si>
  <si>
    <t>TOTAL ANNUAL DEPRECIATION (AED)</t>
  </si>
  <si>
    <t>NET BOOK VALUE (end of year)</t>
  </si>
  <si>
    <t>Cumulative gross CapEx</t>
  </si>
  <si>
    <t>Accumulated depreciation</t>
  </si>
  <si>
    <t>NET BOOK VALUE (AED)</t>
  </si>
  <si>
    <t>DEMAND PROJECTIONS - EVENT-BASED REVENUE DRIVERS</t>
  </si>
  <si>
    <t>Revenue = expected asset-days deployed × asset-day rate | Growth applied as % p.a. from Year 2.</t>
  </si>
  <si>
    <t>Driver / Source</t>
  </si>
  <si>
    <t>8-Yr Total</t>
  </si>
  <si>
    <t>PROJECTED EVENTS</t>
  </si>
  <si>
    <t>Number of target events</t>
  </si>
  <si>
    <t>Event pipeline / Targetable events</t>
  </si>
  <si>
    <t>CABIN</t>
  </si>
  <si>
    <t>Fleet (end of year)</t>
  </si>
  <si>
    <t>Expected cabin-days deployed</t>
  </si>
  <si>
    <t>Revenue per cabin-days deployed</t>
  </si>
  <si>
    <t>Time utilization</t>
  </si>
  <si>
    <t>asset-days used ÷ asset-days available</t>
  </si>
  <si>
    <t>Cabin rental revenue</t>
  </si>
  <si>
    <t>Exp. cabin-days deployed x revenue per cabin per day</t>
  </si>
  <si>
    <t>Expected buggy-days deployed</t>
  </si>
  <si>
    <t>Revenue per buggy-days deployed</t>
  </si>
  <si>
    <t>Buggies rental revenue</t>
  </si>
  <si>
    <t>Exp. buggy-days deployed x revenue per buggy per day</t>
  </si>
  <si>
    <t>Expected barrier-days deployed</t>
  </si>
  <si>
    <t>Revenue per barrier-days deployed</t>
  </si>
  <si>
    <t>Barriers rental revenue</t>
  </si>
  <si>
    <t>Exp. barrier-days deployed x revenue per barrier per day</t>
  </si>
  <si>
    <t>Expected fencing-days deployed</t>
  </si>
  <si>
    <t>Revenue per fencing-days deployed</t>
  </si>
  <si>
    <t>Fencing rental revenue</t>
  </si>
  <si>
    <t>Exp. fencing-days deployed x revenue per fencing per day</t>
  </si>
  <si>
    <t>FLOORING</t>
  </si>
  <si>
    <t>Expected flooring-days deployed</t>
  </si>
  <si>
    <t>Revenue per flooring-days deployed</t>
  </si>
  <si>
    <t>Flooring rental revenue</t>
  </si>
  <si>
    <t>Exp. flooring-days deployed x revenue per flooring per day</t>
  </si>
  <si>
    <t>TOTAL REVENUE</t>
  </si>
  <si>
    <t>P&amp;L &amp; CASH FLOW PROJECTION (5-YEAR)</t>
  </si>
  <si>
    <t>FLEET SUMMARY (CUMULATIVE)</t>
  </si>
  <si>
    <t>Cabin fleet</t>
  </si>
  <si>
    <t>From CapEx sheet</t>
  </si>
  <si>
    <t>—</t>
  </si>
  <si>
    <t>Buggie fleet</t>
  </si>
  <si>
    <t>Barrier fleet</t>
  </si>
  <si>
    <t>Fencing fleet</t>
  </si>
  <si>
    <t>Flooring fleet</t>
  </si>
  <si>
    <t>INCOME STATEMENT</t>
  </si>
  <si>
    <t>REVENUE</t>
  </si>
  <si>
    <t>From Revenue Projection</t>
  </si>
  <si>
    <t>Buggie rental revenue</t>
  </si>
  <si>
    <t>Barrier rental revenue</t>
  </si>
  <si>
    <t>COST OF REVENUE</t>
  </si>
  <si>
    <t>Depreciation</t>
  </si>
  <si>
    <t>From Depreciation Schedule</t>
  </si>
  <si>
    <t>Cabin asset maintenance</t>
  </si>
  <si>
    <t>2.5% × cumulative cabin CapEx</t>
  </si>
  <si>
    <t>Buggie maintenance</t>
  </si>
  <si>
    <t>2.5% × cumulative buggie CapEx</t>
  </si>
  <si>
    <t>Barrier &amp; fencing maintenance</t>
  </si>
  <si>
    <t>0.5% × cumulative barrier &amp; fencing CapEx</t>
  </si>
  <si>
    <t>Flooring maintenance</t>
  </si>
  <si>
    <t>0.5% × cumulative flooring CapEx</t>
  </si>
  <si>
    <t>GROSS PROFIT</t>
  </si>
  <si>
    <t>Gross margin %</t>
  </si>
  <si>
    <t>OPERATING EXPENSES</t>
  </si>
  <si>
    <t>Yard rent (Storage)</t>
  </si>
  <si>
    <t>From CapEx &amp; Inventory schedule</t>
  </si>
  <si>
    <t>Staff costs</t>
  </si>
  <si>
    <t>From Human Resources schedule</t>
  </si>
  <si>
    <t>Office rent</t>
  </si>
  <si>
    <t>Marketing</t>
  </si>
  <si>
    <t>From Assumptions</t>
  </si>
  <si>
    <t>DEWA + utilities</t>
  </si>
  <si>
    <t>Insurance</t>
  </si>
  <si>
    <t>TOTAL OPERATING EXPENSES</t>
  </si>
  <si>
    <t>EBITDA</t>
  </si>
  <si>
    <t>Gross Profit − OPEX excl. depreciation</t>
  </si>
  <si>
    <t>EBITDA margin %</t>
  </si>
  <si>
    <t>EBIT (after depreciation)</t>
  </si>
  <si>
    <t>EBIT margin %</t>
  </si>
  <si>
    <t>INTEREST EXPENSES &amp; TAXES</t>
  </si>
  <si>
    <t>Interest Expenses</t>
  </si>
  <si>
    <t>N/A</t>
  </si>
  <si>
    <t>UAE federal corporate tax</t>
  </si>
  <si>
    <t>9% on taxable profit in excess of AED 375k</t>
  </si>
  <si>
    <t>NET PROFIT</t>
  </si>
  <si>
    <t>CASH FLOW</t>
  </si>
  <si>
    <t>OPERATING CASH FLOWS</t>
  </si>
  <si>
    <t>(+) Revenue</t>
  </si>
  <si>
    <t>(-) Cost of revenue</t>
  </si>
  <si>
    <t>(-) Operating expenses</t>
  </si>
  <si>
    <t>(-) Taxes</t>
  </si>
  <si>
    <t>(+) Non-cash expenses</t>
  </si>
  <si>
    <t>Net cash from operations</t>
  </si>
  <si>
    <t>INVESTING CASH FLOWS</t>
  </si>
  <si>
    <t>(-) Cabin purchase expenditure</t>
  </si>
  <si>
    <t>(-) Buggie purchase expenditure</t>
  </si>
  <si>
    <t>(-) Barrier purchase expenditure</t>
  </si>
  <si>
    <t>(-) Fencing purchase expenditure</t>
  </si>
  <si>
    <t>(-) Flooring purchase expenditure</t>
  </si>
  <si>
    <t>Net cash from investing</t>
  </si>
  <si>
    <t>FINANCING CASH FLOWS</t>
  </si>
  <si>
    <t>(+) Equity capital raised</t>
  </si>
  <si>
    <t>(+) Debt capital raised</t>
  </si>
  <si>
    <t>(-) Debt capital paid back</t>
  </si>
  <si>
    <t>Net change in cash</t>
  </si>
  <si>
    <t>Starting balance</t>
  </si>
  <si>
    <t>Closing balance</t>
  </si>
  <si>
    <t>Signed events (mean)</t>
  </si>
  <si>
    <t>Signed events (median)</t>
  </si>
  <si>
    <t>monthly slab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</si>
</sst>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(* #,##0_);_(* \(#,##0\);_(* &quot;-&quot;_);_(@_)"/>
    <numFmt numFmtId="43" formatCode="_(* #,##0.00_);_(* \(#,##0.00\);_(* &quot;-&quot;??_);_(@_)"/>
    <numFmt numFmtId="164" formatCode="#,##0;\(#,##0\);\-"/>
    <numFmt numFmtId="165" formatCode="#,##0.0;\(#,##0.0\);\-"/>
    <numFmt numFmtId="166" formatCode="#,##0.0&quot; sqm&quot;"/>
    <numFmt numFmtId="167" formatCode="0.0%;\(0.0%\);\-"/>
    <numFmt numFmtId="168" formatCode="#,##0.000;\(#,##0.000\);\-"/>
    <numFmt numFmtId="169" formatCode="#,##0&quot; sqft&quot;"/>
    <numFmt numFmtId="170" formatCode="dd\ mmm\ yyyy"/>
    <numFmt numFmtId="171" formatCode="#,##0&quot; sqm&quot;"/>
    <numFmt numFmtId="172" formatCode="#,##0.0000;\(#,##0.0000\);\-"/>
    <numFmt numFmtId="173" formatCode="_(* #,##0_);_(* \(#,##0\);_(* &quot;-&quot;??_);_(@_)"/>
    <numFmt numFmtId="174" formatCode="#,##0.00;\(#,##0.00\);\-"/>
    <numFmt numFmtId="175" formatCode="dd\ mmm\ yy"/>
    <numFmt numFmtId="176" formatCode="0.0%"/>
    <numFmt numFmtId="177" formatCode="0.0000"/>
  </numFmts>
  <fonts count="4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i/>
      <sz val="9"/>
      <color rgb="FF595959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595959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i/>
      <sz val="10"/>
      <color rgb="FF1F4E79"/>
      <name val="Arial"/>
      <family val="2"/>
    </font>
    <font>
      <sz val="10"/>
      <color rgb="FF008000"/>
      <name val="Arial"/>
      <family val="2"/>
    </font>
    <font>
      <b/>
      <sz val="9"/>
      <color rgb="FF000000"/>
      <name val="Arial"/>
      <family val="2"/>
    </font>
    <font>
      <sz val="11"/>
      <color rgb="FF0000FF"/>
      <name val="Calibri"/>
      <family val="2"/>
      <charset val="1"/>
    </font>
    <font>
      <i/>
      <sz val="11"/>
      <color rgb="FF595959"/>
      <name val="Calibri"/>
      <family val="2"/>
    </font>
    <font>
      <sz val="10"/>
      <color theme="1"/>
      <name val="Arial"/>
      <family val="2"/>
    </font>
    <font>
      <sz val="9"/>
      <color rgb="FF008000"/>
      <name val="Arial"/>
      <family val="2"/>
    </font>
    <font>
      <b/>
      <sz val="9"/>
      <color rgb="FF1F4E79"/>
      <name val="Arial"/>
      <family val="2"/>
    </font>
    <font>
      <b/>
      <sz val="8"/>
      <color rgb="FFFFFFFF"/>
      <name val="Arial"/>
      <family val="2"/>
    </font>
    <font>
      <b/>
      <sz val="9"/>
      <name val="Arial"/>
      <family val="2"/>
    </font>
    <font>
      <sz val="9"/>
      <color rgb="FF0000FF"/>
      <name val="Arial"/>
      <family val="2"/>
    </font>
    <font>
      <sz val="9"/>
      <name val="Arial"/>
      <family val="2"/>
    </font>
    <font>
      <i/>
      <sz val="8"/>
      <color rgb="FFFFFFFF"/>
      <name val="Arial"/>
      <family val="2"/>
    </font>
    <font>
      <sz val="7"/>
      <color rgb="FFFFFFFF"/>
      <name val="Arial"/>
      <family val="2"/>
    </font>
    <font>
      <sz val="6"/>
      <color rgb="FFBBBBBB"/>
      <name val="Arial"/>
      <family val="2"/>
    </font>
    <font>
      <b/>
      <sz val="8"/>
      <color rgb="FF000000"/>
      <name val="Arial"/>
      <family val="2"/>
    </font>
    <font>
      <sz val="7"/>
      <color rgb="FFDDDDDD"/>
      <name val="Arial"/>
      <family val="2"/>
    </font>
    <font>
      <b/>
      <sz val="7"/>
      <color rgb="FF375623"/>
      <name val="Arial"/>
      <family val="2"/>
    </font>
    <font>
      <b/>
      <sz val="7"/>
      <color rgb="FF9C0006"/>
      <name val="Arial"/>
      <family val="2"/>
    </font>
    <font>
      <b/>
      <sz val="7"/>
      <color rgb="FF1F4E79"/>
      <name val="Arial"/>
      <family val="2"/>
    </font>
    <font>
      <b/>
      <sz val="7"/>
      <color rgb="FFFFFFFF"/>
      <name val="Arial"/>
      <family val="2"/>
    </font>
    <font>
      <sz val="11"/>
      <color rgb="FF008000"/>
      <name val="Calibri"/>
      <family val="2"/>
      <charset val="1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charset val="1"/>
    </font>
    <font>
      <sz val="9"/>
      <color rgb="FF595959"/>
      <name val="Arial"/>
      <family val="2"/>
    </font>
    <font>
      <b/>
      <sz val="10"/>
      <color theme="0"/>
      <name val="Arial"/>
      <family val="2"/>
    </font>
    <font>
      <b/>
      <sz val="10"/>
      <color rgb="FF0000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F2F7FB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2E75B6"/>
        <bgColor rgb="FF3A6EA5"/>
      </patternFill>
    </fill>
    <fill>
      <patternFill patternType="solid">
        <fgColor rgb="FF1F4E79"/>
        <bgColor rgb="FF1A3D6E"/>
      </patternFill>
    </fill>
    <fill>
      <patternFill patternType="solid">
        <fgColor rgb="FF1A3D6E"/>
        <bgColor rgb="FF1F4E79"/>
      </patternFill>
    </fill>
    <fill>
      <patternFill patternType="solid">
        <fgColor rgb="FFBDD7EE"/>
        <bgColor rgb="FFD6E4F0"/>
      </patternFill>
    </fill>
    <fill>
      <patternFill patternType="solid">
        <fgColor rgb="FFFFFFFF"/>
        <bgColor rgb="FFF7F7F7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DDDDDD"/>
      </patternFill>
    </fill>
    <fill>
      <patternFill patternType="solid">
        <fgColor rgb="FFDEEAF1"/>
        <bgColor rgb="FFD6E4F0"/>
      </patternFill>
    </fill>
    <fill>
      <patternFill patternType="solid">
        <fgColor rgb="FFF7F7F7"/>
        <bgColor rgb="FFF5F5F5"/>
      </patternFill>
    </fill>
    <fill>
      <patternFill patternType="solid">
        <fgColor rgb="FF2E75B6"/>
        <bgColor rgb="FF99CC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46"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64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0" fontId="3" fillId="5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164" fontId="9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"/>
    </xf>
    <xf numFmtId="164" fontId="7" fillId="6" borderId="0" xfId="0" applyNumberFormat="1" applyFont="1" applyFill="1" applyAlignment="1">
      <alignment horizontal="right" vertical="center"/>
    </xf>
    <xf numFmtId="0" fontId="11" fillId="0" borderId="0" xfId="0" applyFont="1" applyAlignment="1">
      <alignment horizontal="left" vertical="center" indent="1"/>
    </xf>
    <xf numFmtId="0" fontId="12" fillId="2" borderId="1" xfId="0" applyFont="1" applyFill="1" applyBorder="1" applyAlignment="1">
      <alignment horizontal="left" vertical="center" indent="1"/>
    </xf>
    <xf numFmtId="0" fontId="12" fillId="2" borderId="1" xfId="0" applyFont="1" applyFill="1" applyBorder="1"/>
    <xf numFmtId="164" fontId="12" fillId="2" borderId="1" xfId="0" applyNumberFormat="1" applyFont="1" applyFill="1" applyBorder="1"/>
    <xf numFmtId="0" fontId="13" fillId="0" borderId="0" xfId="0" applyFont="1" applyAlignment="1">
      <alignment horizontal="left" vertical="center" indent="1"/>
    </xf>
    <xf numFmtId="1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" fontId="14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6" fillId="0" borderId="0" xfId="0" applyFont="1"/>
    <xf numFmtId="167" fontId="8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4" fontId="0" fillId="0" borderId="0" xfId="0" applyNumberFormat="1"/>
    <xf numFmtId="168" fontId="7" fillId="0" borderId="0" xfId="0" applyNumberFormat="1" applyFont="1" applyAlignment="1">
      <alignment horizontal="right" vertical="center"/>
    </xf>
    <xf numFmtId="169" fontId="8" fillId="0" borderId="0" xfId="0" applyNumberFormat="1" applyFont="1" applyAlignment="1">
      <alignment horizontal="right" vertical="center"/>
    </xf>
    <xf numFmtId="169" fontId="3" fillId="0" borderId="0" xfId="0" applyNumberFormat="1" applyFont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2" fillId="2" borderId="0" xfId="0" applyFont="1" applyFill="1" applyAlignment="1">
      <alignment horizontal="centerContinuous" vertical="center" wrapText="1"/>
    </xf>
    <xf numFmtId="1" fontId="0" fillId="0" borderId="0" xfId="0" applyNumberFormat="1"/>
    <xf numFmtId="0" fontId="16" fillId="0" borderId="0" xfId="0" applyFont="1"/>
    <xf numFmtId="0" fontId="17" fillId="0" borderId="0" xfId="0" applyFont="1"/>
    <xf numFmtId="0" fontId="0" fillId="0" borderId="0" xfId="0" quotePrefix="1"/>
    <xf numFmtId="0" fontId="6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9" fontId="7" fillId="0" borderId="0" xfId="2" applyFont="1" applyAlignment="1">
      <alignment horizontal="right" vertical="center"/>
    </xf>
    <xf numFmtId="164" fontId="18" fillId="0" borderId="0" xfId="0" applyNumberFormat="1" applyFont="1" applyAlignment="1">
      <alignment horizontal="right" vertical="center"/>
    </xf>
    <xf numFmtId="3" fontId="19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 indent="1"/>
    </xf>
    <xf numFmtId="0" fontId="4" fillId="8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 indent="1"/>
    </xf>
    <xf numFmtId="170" fontId="5" fillId="0" borderId="0" xfId="0" applyNumberFormat="1" applyFont="1" applyAlignment="1">
      <alignment horizontal="center" vertical="center"/>
    </xf>
    <xf numFmtId="171" fontId="8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left" vertical="center" indent="1"/>
    </xf>
    <xf numFmtId="164" fontId="14" fillId="0" borderId="2" xfId="0" applyNumberFormat="1" applyFont="1" applyBorder="1" applyAlignment="1">
      <alignment horizontal="right" vertical="center"/>
    </xf>
    <xf numFmtId="1" fontId="14" fillId="0" borderId="2" xfId="0" applyNumberFormat="1" applyFont="1" applyBorder="1" applyAlignment="1">
      <alignment horizontal="right" vertical="center"/>
    </xf>
    <xf numFmtId="167" fontId="14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72" fontId="0" fillId="0" borderId="0" xfId="0" applyNumberFormat="1"/>
    <xf numFmtId="3" fontId="0" fillId="0" borderId="0" xfId="0" applyNumberFormat="1"/>
    <xf numFmtId="43" fontId="1" fillId="0" borderId="0" xfId="1"/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70" fontId="23" fillId="0" borderId="0" xfId="0" applyNumberFormat="1" applyFont="1" applyAlignment="1">
      <alignment horizontal="center" vertical="center"/>
    </xf>
    <xf numFmtId="0" fontId="4" fillId="9" borderId="0" xfId="0" applyFont="1" applyFill="1" applyAlignment="1">
      <alignment horizontal="left" vertical="center" indent="1"/>
    </xf>
    <xf numFmtId="0" fontId="21" fillId="9" borderId="0" xfId="0" applyFont="1" applyFill="1"/>
    <xf numFmtId="0" fontId="25" fillId="9" borderId="0" xfId="0" applyFont="1" applyFill="1" applyAlignment="1">
      <alignment horizontal="right" vertical="center"/>
    </xf>
    <xf numFmtId="0" fontId="26" fillId="8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left" vertical="center" indent="1"/>
    </xf>
    <xf numFmtId="0" fontId="0" fillId="11" borderId="0" xfId="0" applyFill="1"/>
    <xf numFmtId="3" fontId="29" fillId="12" borderId="0" xfId="0" applyNumberFormat="1" applyFont="1" applyFill="1" applyAlignment="1">
      <alignment horizontal="center" vertical="center"/>
    </xf>
    <xf numFmtId="3" fontId="30" fillId="13" borderId="0" xfId="0" applyNumberFormat="1" applyFont="1" applyFill="1" applyAlignment="1">
      <alignment horizontal="center" vertical="center"/>
    </xf>
    <xf numFmtId="3" fontId="31" fillId="14" borderId="0" xfId="0" applyNumberFormat="1" applyFont="1" applyFill="1" applyAlignment="1">
      <alignment horizontal="center" vertical="center"/>
    </xf>
    <xf numFmtId="3" fontId="32" fillId="15" borderId="0" xfId="0" applyNumberFormat="1" applyFont="1" applyFill="1" applyAlignment="1">
      <alignment horizontal="center" vertical="center"/>
    </xf>
    <xf numFmtId="3" fontId="29" fillId="16" borderId="0" xfId="0" applyNumberFormat="1" applyFont="1" applyFill="1" applyAlignment="1">
      <alignment horizontal="center" vertical="center"/>
    </xf>
    <xf numFmtId="0" fontId="21" fillId="9" borderId="0" xfId="0" applyFont="1" applyFill="1" applyAlignment="1">
      <alignment horizontal="left" vertical="center" indent="1"/>
    </xf>
    <xf numFmtId="3" fontId="4" fillId="9" borderId="0" xfId="0" applyNumberFormat="1" applyFont="1" applyFill="1" applyAlignment="1">
      <alignment horizontal="center" vertical="center"/>
    </xf>
    <xf numFmtId="3" fontId="33" fillId="9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left" vertical="center" indent="1"/>
    </xf>
    <xf numFmtId="16" fontId="28" fillId="0" borderId="0" xfId="0" applyNumberFormat="1" applyFont="1" applyAlignment="1">
      <alignment horizontal="left" vertical="center" indent="1"/>
    </xf>
    <xf numFmtId="0" fontId="28" fillId="0" borderId="0" xfId="0" applyFont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173" fontId="1" fillId="0" borderId="0" xfId="1" applyNumberFormat="1"/>
    <xf numFmtId="14" fontId="0" fillId="0" borderId="0" xfId="0" applyNumberFormat="1"/>
    <xf numFmtId="0" fontId="34" fillId="0" borderId="0" xfId="0" applyFont="1"/>
    <xf numFmtId="0" fontId="16" fillId="0" borderId="0" xfId="0" applyFont="1" applyAlignment="1">
      <alignment horizontal="right"/>
    </xf>
    <xf numFmtId="0" fontId="6" fillId="0" borderId="0" xfId="0" quotePrefix="1" applyFont="1" applyAlignment="1">
      <alignment horizontal="left" vertical="center" wrapText="1" indent="1"/>
    </xf>
    <xf numFmtId="0" fontId="6" fillId="0" borderId="0" xfId="0" applyFont="1" applyAlignment="1">
      <alignment wrapText="1"/>
    </xf>
    <xf numFmtId="174" fontId="7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74" fontId="14" fillId="0" borderId="0" xfId="0" applyNumberFormat="1" applyFont="1" applyAlignment="1">
      <alignment horizontal="right" vertical="center"/>
    </xf>
    <xf numFmtId="175" fontId="7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left" indent="1"/>
    </xf>
    <xf numFmtId="164" fontId="23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35" fillId="0" borderId="0" xfId="0" applyFont="1"/>
    <xf numFmtId="0" fontId="37" fillId="0" borderId="0" xfId="0" applyFont="1"/>
    <xf numFmtId="165" fontId="23" fillId="0" borderId="0" xfId="0" applyNumberFormat="1" applyFont="1" applyAlignment="1">
      <alignment horizontal="right" vertical="center"/>
    </xf>
    <xf numFmtId="0" fontId="4" fillId="8" borderId="0" xfId="0" applyFont="1" applyFill="1" applyAlignment="1">
      <alignment horizontal="left" vertical="center" wrapText="1"/>
    </xf>
    <xf numFmtId="0" fontId="38" fillId="0" borderId="0" xfId="0" applyFont="1"/>
    <xf numFmtId="1" fontId="35" fillId="0" borderId="0" xfId="0" applyNumberFormat="1" applyFont="1" applyAlignment="1">
      <alignment horizontal="center"/>
    </xf>
    <xf numFmtId="0" fontId="4" fillId="4" borderId="0" xfId="0" applyFont="1" applyFill="1" applyAlignment="1">
      <alignment horizontal="right" vertical="center" wrapText="1"/>
    </xf>
    <xf numFmtId="16" fontId="27" fillId="0" borderId="0" xfId="0" applyNumberFormat="1" applyFont="1"/>
    <xf numFmtId="0" fontId="27" fillId="0" borderId="0" xfId="0" applyFont="1" applyAlignment="1">
      <alignment horizontal="center"/>
    </xf>
    <xf numFmtId="3" fontId="7" fillId="0" borderId="0" xfId="0" applyNumberFormat="1" applyFont="1" applyAlignment="1">
      <alignment horizontal="right" vertical="center"/>
    </xf>
    <xf numFmtId="164" fontId="19" fillId="0" borderId="0" xfId="0" applyNumberFormat="1" applyFont="1" applyAlignment="1">
      <alignment horizontal="right" vertical="center"/>
    </xf>
    <xf numFmtId="9" fontId="19" fillId="0" borderId="0" xfId="2" applyFont="1" applyAlignment="1">
      <alignment horizontal="center"/>
    </xf>
    <xf numFmtId="176" fontId="1" fillId="0" borderId="0" xfId="2" applyNumberFormat="1" applyAlignment="1">
      <alignment horizontal="right" vertical="center"/>
    </xf>
    <xf numFmtId="41" fontId="1" fillId="0" borderId="0" xfId="0" applyNumberFormat="1" applyFont="1" applyAlignment="1">
      <alignment horizontal="right" vertical="center"/>
    </xf>
    <xf numFmtId="41" fontId="8" fillId="0" borderId="0" xfId="0" applyNumberFormat="1" applyFont="1" applyAlignment="1">
      <alignment horizontal="right" vertical="center"/>
    </xf>
    <xf numFmtId="0" fontId="3" fillId="17" borderId="0" xfId="0" applyFont="1" applyFill="1" applyAlignment="1">
      <alignment horizontal="left" vertical="center" indent="1"/>
    </xf>
    <xf numFmtId="0" fontId="39" fillId="17" borderId="0" xfId="0" applyFont="1" applyFill="1" applyAlignment="1">
      <alignment horizontal="left" vertical="center" indent="1"/>
    </xf>
    <xf numFmtId="37" fontId="1" fillId="0" borderId="0" xfId="0" applyNumberFormat="1" applyFont="1" applyAlignment="1">
      <alignment horizontal="right" vertical="center"/>
    </xf>
    <xf numFmtId="0" fontId="1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9" fontId="7" fillId="0" borderId="0" xfId="2" applyFont="1" applyAlignment="1">
      <alignment vertical="center"/>
    </xf>
    <xf numFmtId="177" fontId="0" fillId="0" borderId="0" xfId="0" applyNumberFormat="1"/>
    <xf numFmtId="37" fontId="7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right" vertical="center"/>
    </xf>
    <xf numFmtId="164" fontId="40" fillId="0" borderId="0" xfId="0" applyNumberFormat="1" applyFont="1" applyAlignment="1">
      <alignment horizontal="right" vertical="center"/>
    </xf>
    <xf numFmtId="0" fontId="36" fillId="0" borderId="0" xfId="0" applyFont="1"/>
    <xf numFmtId="1" fontId="36" fillId="0" borderId="0" xfId="0" applyNumberFormat="1" applyFont="1" applyAlignment="1">
      <alignment horizontal="center"/>
    </xf>
    <xf numFmtId="0" fontId="15" fillId="0" borderId="2" xfId="0" applyFont="1" applyBorder="1" applyAlignment="1">
      <alignment horizontal="left" vertical="center" indent="1"/>
    </xf>
    <xf numFmtId="170" fontId="23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70" fontId="5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9" fontId="23" fillId="0" borderId="0" xfId="2" applyFont="1" applyAlignment="1">
      <alignment horizontal="center" vertical="center"/>
    </xf>
    <xf numFmtId="9" fontId="23" fillId="0" borderId="2" xfId="2" applyFont="1" applyBorder="1" applyAlignment="1">
      <alignment horizontal="center" vertical="center"/>
    </xf>
    <xf numFmtId="15" fontId="34" fillId="0" borderId="0" xfId="0" applyNumberFormat="1" applyFont="1"/>
    <xf numFmtId="0" fontId="38" fillId="0" borderId="2" xfId="0" applyFont="1" applyBorder="1"/>
    <xf numFmtId="9" fontId="0" fillId="0" borderId="0" xfId="0" applyNumberFormat="1"/>
    <xf numFmtId="164" fontId="7" fillId="0" borderId="0" xfId="0" applyNumberFormat="1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0" fillId="0" borderId="0" xfId="0"/>
    <xf numFmtId="0" fontId="21" fillId="8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7FB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Cabins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cat>
            <c:numRef>
              <c:f>'FY1 Event &amp; Demand Timeline'!$E$5:$HH$5</c:f>
              <c:numCache>
                <c:formatCode>d\-mmm</c:formatCode>
                <c:ptCount val="212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46326</c:v>
                </c:pt>
                <c:pt idx="31">
                  <c:v>46327</c:v>
                </c:pt>
                <c:pt idx="32">
                  <c:v>46328</c:v>
                </c:pt>
                <c:pt idx="33">
                  <c:v>46329</c:v>
                </c:pt>
                <c:pt idx="34">
                  <c:v>46330</c:v>
                </c:pt>
                <c:pt idx="35">
                  <c:v>46331</c:v>
                </c:pt>
                <c:pt idx="36">
                  <c:v>46332</c:v>
                </c:pt>
                <c:pt idx="37">
                  <c:v>46333</c:v>
                </c:pt>
                <c:pt idx="38">
                  <c:v>46334</c:v>
                </c:pt>
                <c:pt idx="39">
                  <c:v>46335</c:v>
                </c:pt>
                <c:pt idx="40">
                  <c:v>46336</c:v>
                </c:pt>
                <c:pt idx="41">
                  <c:v>46337</c:v>
                </c:pt>
                <c:pt idx="42">
                  <c:v>46338</c:v>
                </c:pt>
                <c:pt idx="43">
                  <c:v>46339</c:v>
                </c:pt>
                <c:pt idx="44">
                  <c:v>46340</c:v>
                </c:pt>
                <c:pt idx="45">
                  <c:v>46341</c:v>
                </c:pt>
                <c:pt idx="46">
                  <c:v>46342</c:v>
                </c:pt>
                <c:pt idx="47">
                  <c:v>46343</c:v>
                </c:pt>
                <c:pt idx="48">
                  <c:v>46344</c:v>
                </c:pt>
                <c:pt idx="49">
                  <c:v>46345</c:v>
                </c:pt>
                <c:pt idx="50">
                  <c:v>46346</c:v>
                </c:pt>
                <c:pt idx="51">
                  <c:v>46347</c:v>
                </c:pt>
                <c:pt idx="52">
                  <c:v>46348</c:v>
                </c:pt>
                <c:pt idx="53">
                  <c:v>46349</c:v>
                </c:pt>
                <c:pt idx="54">
                  <c:v>46350</c:v>
                </c:pt>
                <c:pt idx="55">
                  <c:v>46351</c:v>
                </c:pt>
                <c:pt idx="56">
                  <c:v>46352</c:v>
                </c:pt>
                <c:pt idx="57">
                  <c:v>46353</c:v>
                </c:pt>
                <c:pt idx="58">
                  <c:v>46354</c:v>
                </c:pt>
                <c:pt idx="59">
                  <c:v>46355</c:v>
                </c:pt>
                <c:pt idx="60">
                  <c:v>46356</c:v>
                </c:pt>
                <c:pt idx="61">
                  <c:v>46357</c:v>
                </c:pt>
                <c:pt idx="62">
                  <c:v>46358</c:v>
                </c:pt>
                <c:pt idx="63">
                  <c:v>46359</c:v>
                </c:pt>
                <c:pt idx="64">
                  <c:v>46360</c:v>
                </c:pt>
                <c:pt idx="65">
                  <c:v>46361</c:v>
                </c:pt>
                <c:pt idx="66">
                  <c:v>46362</c:v>
                </c:pt>
                <c:pt idx="67">
                  <c:v>46363</c:v>
                </c:pt>
                <c:pt idx="68">
                  <c:v>46364</c:v>
                </c:pt>
                <c:pt idx="69">
                  <c:v>46365</c:v>
                </c:pt>
                <c:pt idx="70">
                  <c:v>46366</c:v>
                </c:pt>
                <c:pt idx="71">
                  <c:v>46367</c:v>
                </c:pt>
                <c:pt idx="72">
                  <c:v>46368</c:v>
                </c:pt>
                <c:pt idx="73">
                  <c:v>46369</c:v>
                </c:pt>
                <c:pt idx="74">
                  <c:v>46370</c:v>
                </c:pt>
                <c:pt idx="75">
                  <c:v>46371</c:v>
                </c:pt>
                <c:pt idx="76">
                  <c:v>46372</c:v>
                </c:pt>
                <c:pt idx="77">
                  <c:v>46373</c:v>
                </c:pt>
                <c:pt idx="78">
                  <c:v>46374</c:v>
                </c:pt>
                <c:pt idx="79">
                  <c:v>46375</c:v>
                </c:pt>
                <c:pt idx="80">
                  <c:v>46376</c:v>
                </c:pt>
                <c:pt idx="81">
                  <c:v>46377</c:v>
                </c:pt>
                <c:pt idx="82">
                  <c:v>46378</c:v>
                </c:pt>
                <c:pt idx="83">
                  <c:v>46379</c:v>
                </c:pt>
                <c:pt idx="84">
                  <c:v>46380</c:v>
                </c:pt>
                <c:pt idx="85">
                  <c:v>46381</c:v>
                </c:pt>
                <c:pt idx="86">
                  <c:v>46382</c:v>
                </c:pt>
                <c:pt idx="87">
                  <c:v>46383</c:v>
                </c:pt>
                <c:pt idx="88">
                  <c:v>46384</c:v>
                </c:pt>
                <c:pt idx="89">
                  <c:v>46385</c:v>
                </c:pt>
                <c:pt idx="90">
                  <c:v>46386</c:v>
                </c:pt>
                <c:pt idx="91">
                  <c:v>46387</c:v>
                </c:pt>
                <c:pt idx="92">
                  <c:v>46388</c:v>
                </c:pt>
                <c:pt idx="93">
                  <c:v>46389</c:v>
                </c:pt>
                <c:pt idx="94">
                  <c:v>46390</c:v>
                </c:pt>
                <c:pt idx="95">
                  <c:v>46391</c:v>
                </c:pt>
                <c:pt idx="96">
                  <c:v>46392</c:v>
                </c:pt>
                <c:pt idx="97">
                  <c:v>46393</c:v>
                </c:pt>
                <c:pt idx="98">
                  <c:v>46394</c:v>
                </c:pt>
                <c:pt idx="99">
                  <c:v>46395</c:v>
                </c:pt>
                <c:pt idx="100">
                  <c:v>46396</c:v>
                </c:pt>
                <c:pt idx="101">
                  <c:v>46397</c:v>
                </c:pt>
                <c:pt idx="102">
                  <c:v>46398</c:v>
                </c:pt>
                <c:pt idx="103">
                  <c:v>46399</c:v>
                </c:pt>
                <c:pt idx="104">
                  <c:v>46400</c:v>
                </c:pt>
                <c:pt idx="105">
                  <c:v>46401</c:v>
                </c:pt>
                <c:pt idx="106">
                  <c:v>46402</c:v>
                </c:pt>
                <c:pt idx="107">
                  <c:v>46403</c:v>
                </c:pt>
                <c:pt idx="108">
                  <c:v>46404</c:v>
                </c:pt>
                <c:pt idx="109">
                  <c:v>46405</c:v>
                </c:pt>
                <c:pt idx="110">
                  <c:v>46406</c:v>
                </c:pt>
                <c:pt idx="111">
                  <c:v>46407</c:v>
                </c:pt>
                <c:pt idx="112">
                  <c:v>46408</c:v>
                </c:pt>
                <c:pt idx="113">
                  <c:v>46409</c:v>
                </c:pt>
                <c:pt idx="114">
                  <c:v>46410</c:v>
                </c:pt>
                <c:pt idx="115">
                  <c:v>46411</c:v>
                </c:pt>
                <c:pt idx="116">
                  <c:v>46412</c:v>
                </c:pt>
                <c:pt idx="117">
                  <c:v>46413</c:v>
                </c:pt>
                <c:pt idx="118">
                  <c:v>46414</c:v>
                </c:pt>
                <c:pt idx="119">
                  <c:v>46415</c:v>
                </c:pt>
                <c:pt idx="120">
                  <c:v>46416</c:v>
                </c:pt>
                <c:pt idx="121">
                  <c:v>46417</c:v>
                </c:pt>
                <c:pt idx="122">
                  <c:v>46418</c:v>
                </c:pt>
                <c:pt idx="123">
                  <c:v>46419</c:v>
                </c:pt>
                <c:pt idx="124">
                  <c:v>46420</c:v>
                </c:pt>
                <c:pt idx="125">
                  <c:v>46421</c:v>
                </c:pt>
                <c:pt idx="126">
                  <c:v>46422</c:v>
                </c:pt>
                <c:pt idx="127">
                  <c:v>46423</c:v>
                </c:pt>
                <c:pt idx="128">
                  <c:v>46424</c:v>
                </c:pt>
                <c:pt idx="129">
                  <c:v>46425</c:v>
                </c:pt>
                <c:pt idx="130">
                  <c:v>46426</c:v>
                </c:pt>
                <c:pt idx="131">
                  <c:v>46427</c:v>
                </c:pt>
                <c:pt idx="132">
                  <c:v>46428</c:v>
                </c:pt>
                <c:pt idx="133">
                  <c:v>46429</c:v>
                </c:pt>
                <c:pt idx="134">
                  <c:v>46430</c:v>
                </c:pt>
                <c:pt idx="135">
                  <c:v>46431</c:v>
                </c:pt>
                <c:pt idx="136">
                  <c:v>46432</c:v>
                </c:pt>
                <c:pt idx="137">
                  <c:v>46433</c:v>
                </c:pt>
                <c:pt idx="138">
                  <c:v>46434</c:v>
                </c:pt>
                <c:pt idx="139">
                  <c:v>46435</c:v>
                </c:pt>
                <c:pt idx="140">
                  <c:v>46436</c:v>
                </c:pt>
                <c:pt idx="141">
                  <c:v>46437</c:v>
                </c:pt>
                <c:pt idx="142">
                  <c:v>46438</c:v>
                </c:pt>
                <c:pt idx="143">
                  <c:v>46439</c:v>
                </c:pt>
                <c:pt idx="144">
                  <c:v>46440</c:v>
                </c:pt>
                <c:pt idx="145">
                  <c:v>46441</c:v>
                </c:pt>
                <c:pt idx="146">
                  <c:v>46442</c:v>
                </c:pt>
                <c:pt idx="147">
                  <c:v>46443</c:v>
                </c:pt>
                <c:pt idx="148">
                  <c:v>46444</c:v>
                </c:pt>
                <c:pt idx="149">
                  <c:v>46445</c:v>
                </c:pt>
                <c:pt idx="150">
                  <c:v>46446</c:v>
                </c:pt>
                <c:pt idx="151">
                  <c:v>46447</c:v>
                </c:pt>
                <c:pt idx="152">
                  <c:v>46448</c:v>
                </c:pt>
                <c:pt idx="153">
                  <c:v>46449</c:v>
                </c:pt>
                <c:pt idx="154">
                  <c:v>46450</c:v>
                </c:pt>
                <c:pt idx="155">
                  <c:v>46451</c:v>
                </c:pt>
                <c:pt idx="156">
                  <c:v>46452</c:v>
                </c:pt>
                <c:pt idx="157">
                  <c:v>46453</c:v>
                </c:pt>
                <c:pt idx="158">
                  <c:v>46454</c:v>
                </c:pt>
                <c:pt idx="159">
                  <c:v>46455</c:v>
                </c:pt>
                <c:pt idx="160">
                  <c:v>46456</c:v>
                </c:pt>
                <c:pt idx="161">
                  <c:v>46457</c:v>
                </c:pt>
                <c:pt idx="162">
                  <c:v>46458</c:v>
                </c:pt>
                <c:pt idx="163">
                  <c:v>46459</c:v>
                </c:pt>
                <c:pt idx="164">
                  <c:v>46460</c:v>
                </c:pt>
                <c:pt idx="165">
                  <c:v>46461</c:v>
                </c:pt>
                <c:pt idx="166">
                  <c:v>46462</c:v>
                </c:pt>
                <c:pt idx="167">
                  <c:v>46463</c:v>
                </c:pt>
                <c:pt idx="168">
                  <c:v>46464</c:v>
                </c:pt>
                <c:pt idx="169">
                  <c:v>46465</c:v>
                </c:pt>
                <c:pt idx="170">
                  <c:v>46466</c:v>
                </c:pt>
                <c:pt idx="171">
                  <c:v>46467</c:v>
                </c:pt>
                <c:pt idx="172">
                  <c:v>46468</c:v>
                </c:pt>
                <c:pt idx="173">
                  <c:v>46469</c:v>
                </c:pt>
                <c:pt idx="174">
                  <c:v>46470</c:v>
                </c:pt>
                <c:pt idx="175">
                  <c:v>46471</c:v>
                </c:pt>
                <c:pt idx="176">
                  <c:v>46472</c:v>
                </c:pt>
                <c:pt idx="177">
                  <c:v>46473</c:v>
                </c:pt>
                <c:pt idx="178">
                  <c:v>46474</c:v>
                </c:pt>
                <c:pt idx="179">
                  <c:v>46475</c:v>
                </c:pt>
                <c:pt idx="180">
                  <c:v>46476</c:v>
                </c:pt>
                <c:pt idx="181">
                  <c:v>46477</c:v>
                </c:pt>
                <c:pt idx="182">
                  <c:v>46478</c:v>
                </c:pt>
                <c:pt idx="183">
                  <c:v>46479</c:v>
                </c:pt>
                <c:pt idx="184">
                  <c:v>46480</c:v>
                </c:pt>
                <c:pt idx="185">
                  <c:v>46481</c:v>
                </c:pt>
                <c:pt idx="186">
                  <c:v>46482</c:v>
                </c:pt>
                <c:pt idx="187">
                  <c:v>46483</c:v>
                </c:pt>
                <c:pt idx="188">
                  <c:v>46484</c:v>
                </c:pt>
                <c:pt idx="189">
                  <c:v>46485</c:v>
                </c:pt>
                <c:pt idx="190">
                  <c:v>46486</c:v>
                </c:pt>
                <c:pt idx="191">
                  <c:v>46487</c:v>
                </c:pt>
                <c:pt idx="192">
                  <c:v>46488</c:v>
                </c:pt>
                <c:pt idx="193">
                  <c:v>46489</c:v>
                </c:pt>
                <c:pt idx="194">
                  <c:v>46490</c:v>
                </c:pt>
                <c:pt idx="195">
                  <c:v>46491</c:v>
                </c:pt>
                <c:pt idx="196">
                  <c:v>46492</c:v>
                </c:pt>
                <c:pt idx="197">
                  <c:v>46493</c:v>
                </c:pt>
                <c:pt idx="198">
                  <c:v>46494</c:v>
                </c:pt>
                <c:pt idx="199">
                  <c:v>46495</c:v>
                </c:pt>
                <c:pt idx="200">
                  <c:v>46496</c:v>
                </c:pt>
                <c:pt idx="201">
                  <c:v>46497</c:v>
                </c:pt>
                <c:pt idx="202">
                  <c:v>46498</c:v>
                </c:pt>
                <c:pt idx="203">
                  <c:v>46499</c:v>
                </c:pt>
                <c:pt idx="204">
                  <c:v>46500</c:v>
                </c:pt>
                <c:pt idx="205">
                  <c:v>46501</c:v>
                </c:pt>
                <c:pt idx="206">
                  <c:v>46502</c:v>
                </c:pt>
                <c:pt idx="207">
                  <c:v>46503</c:v>
                </c:pt>
                <c:pt idx="208">
                  <c:v>46504</c:v>
                </c:pt>
                <c:pt idx="209">
                  <c:v>46505</c:v>
                </c:pt>
                <c:pt idx="210">
                  <c:v>46506</c:v>
                </c:pt>
                <c:pt idx="211">
                  <c:v>46507</c:v>
                </c:pt>
              </c:numCache>
            </c:numRef>
          </c:cat>
          <c:val>
            <c:numRef>
              <c:f>'FY1 Event &amp; Demand Timeline'!$E$19:$HH$19</c:f>
              <c:numCache>
                <c:formatCode>#,##0</c:formatCode>
                <c:ptCount val="212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26</c:v>
                </c:pt>
                <c:pt idx="35">
                  <c:v>26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86</c:v>
                </c:pt>
                <c:pt idx="57">
                  <c:v>107</c:v>
                </c:pt>
                <c:pt idx="58">
                  <c:v>83</c:v>
                </c:pt>
                <c:pt idx="59">
                  <c:v>83</c:v>
                </c:pt>
                <c:pt idx="60">
                  <c:v>83</c:v>
                </c:pt>
                <c:pt idx="61">
                  <c:v>83</c:v>
                </c:pt>
                <c:pt idx="62">
                  <c:v>83</c:v>
                </c:pt>
                <c:pt idx="63">
                  <c:v>83</c:v>
                </c:pt>
                <c:pt idx="64">
                  <c:v>83</c:v>
                </c:pt>
                <c:pt idx="65">
                  <c:v>83</c:v>
                </c:pt>
                <c:pt idx="66">
                  <c:v>83</c:v>
                </c:pt>
                <c:pt idx="67">
                  <c:v>65</c:v>
                </c:pt>
                <c:pt idx="68">
                  <c:v>65</c:v>
                </c:pt>
                <c:pt idx="69">
                  <c:v>65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18</c:v>
                </c:pt>
                <c:pt idx="128">
                  <c:v>18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18</c:v>
                </c:pt>
                <c:pt idx="136">
                  <c:v>18</c:v>
                </c:pt>
                <c:pt idx="137">
                  <c:v>18</c:v>
                </c:pt>
                <c:pt idx="138">
                  <c:v>18</c:v>
                </c:pt>
                <c:pt idx="139">
                  <c:v>18</c:v>
                </c:pt>
                <c:pt idx="140">
                  <c:v>18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37</c:v>
                </c:pt>
                <c:pt idx="197">
                  <c:v>37</c:v>
                </c:pt>
                <c:pt idx="198">
                  <c:v>37</c:v>
                </c:pt>
                <c:pt idx="199">
                  <c:v>37</c:v>
                </c:pt>
                <c:pt idx="200">
                  <c:v>37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A-F54C-84CC-50C5CB675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01567"/>
        <c:axId val="230431743"/>
      </c:lineChart>
      <c:dateAx>
        <c:axId val="191501567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230431743"/>
        <c:crosses val="autoZero"/>
        <c:auto val="1"/>
        <c:lblOffset val="100"/>
        <c:baseTimeUnit val="days"/>
      </c:dateAx>
      <c:valAx>
        <c:axId val="23043174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19150156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Buggies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cat>
            <c:numRef>
              <c:f>'FY1 Event &amp; Demand Timeline'!$E$5:$HH$5</c:f>
              <c:numCache>
                <c:formatCode>d\-mmm</c:formatCode>
                <c:ptCount val="212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46326</c:v>
                </c:pt>
                <c:pt idx="31">
                  <c:v>46327</c:v>
                </c:pt>
                <c:pt idx="32">
                  <c:v>46328</c:v>
                </c:pt>
                <c:pt idx="33">
                  <c:v>46329</c:v>
                </c:pt>
                <c:pt idx="34">
                  <c:v>46330</c:v>
                </c:pt>
                <c:pt idx="35">
                  <c:v>46331</c:v>
                </c:pt>
                <c:pt idx="36">
                  <c:v>46332</c:v>
                </c:pt>
                <c:pt idx="37">
                  <c:v>46333</c:v>
                </c:pt>
                <c:pt idx="38">
                  <c:v>46334</c:v>
                </c:pt>
                <c:pt idx="39">
                  <c:v>46335</c:v>
                </c:pt>
                <c:pt idx="40">
                  <c:v>46336</c:v>
                </c:pt>
                <c:pt idx="41">
                  <c:v>46337</c:v>
                </c:pt>
                <c:pt idx="42">
                  <c:v>46338</c:v>
                </c:pt>
                <c:pt idx="43">
                  <c:v>46339</c:v>
                </c:pt>
                <c:pt idx="44">
                  <c:v>46340</c:v>
                </c:pt>
                <c:pt idx="45">
                  <c:v>46341</c:v>
                </c:pt>
                <c:pt idx="46">
                  <c:v>46342</c:v>
                </c:pt>
                <c:pt idx="47">
                  <c:v>46343</c:v>
                </c:pt>
                <c:pt idx="48">
                  <c:v>46344</c:v>
                </c:pt>
                <c:pt idx="49">
                  <c:v>46345</c:v>
                </c:pt>
                <c:pt idx="50">
                  <c:v>46346</c:v>
                </c:pt>
                <c:pt idx="51">
                  <c:v>46347</c:v>
                </c:pt>
                <c:pt idx="52">
                  <c:v>46348</c:v>
                </c:pt>
                <c:pt idx="53">
                  <c:v>46349</c:v>
                </c:pt>
                <c:pt idx="54">
                  <c:v>46350</c:v>
                </c:pt>
                <c:pt idx="55">
                  <c:v>46351</c:v>
                </c:pt>
                <c:pt idx="56">
                  <c:v>46352</c:v>
                </c:pt>
                <c:pt idx="57">
                  <c:v>46353</c:v>
                </c:pt>
                <c:pt idx="58">
                  <c:v>46354</c:v>
                </c:pt>
                <c:pt idx="59">
                  <c:v>46355</c:v>
                </c:pt>
                <c:pt idx="60">
                  <c:v>46356</c:v>
                </c:pt>
                <c:pt idx="61">
                  <c:v>46357</c:v>
                </c:pt>
                <c:pt idx="62">
                  <c:v>46358</c:v>
                </c:pt>
                <c:pt idx="63">
                  <c:v>46359</c:v>
                </c:pt>
                <c:pt idx="64">
                  <c:v>46360</c:v>
                </c:pt>
                <c:pt idx="65">
                  <c:v>46361</c:v>
                </c:pt>
                <c:pt idx="66">
                  <c:v>46362</c:v>
                </c:pt>
                <c:pt idx="67">
                  <c:v>46363</c:v>
                </c:pt>
                <c:pt idx="68">
                  <c:v>46364</c:v>
                </c:pt>
                <c:pt idx="69">
                  <c:v>46365</c:v>
                </c:pt>
                <c:pt idx="70">
                  <c:v>46366</c:v>
                </c:pt>
                <c:pt idx="71">
                  <c:v>46367</c:v>
                </c:pt>
                <c:pt idx="72">
                  <c:v>46368</c:v>
                </c:pt>
                <c:pt idx="73">
                  <c:v>46369</c:v>
                </c:pt>
                <c:pt idx="74">
                  <c:v>46370</c:v>
                </c:pt>
                <c:pt idx="75">
                  <c:v>46371</c:v>
                </c:pt>
                <c:pt idx="76">
                  <c:v>46372</c:v>
                </c:pt>
                <c:pt idx="77">
                  <c:v>46373</c:v>
                </c:pt>
                <c:pt idx="78">
                  <c:v>46374</c:v>
                </c:pt>
                <c:pt idx="79">
                  <c:v>46375</c:v>
                </c:pt>
                <c:pt idx="80">
                  <c:v>46376</c:v>
                </c:pt>
                <c:pt idx="81">
                  <c:v>46377</c:v>
                </c:pt>
                <c:pt idx="82">
                  <c:v>46378</c:v>
                </c:pt>
                <c:pt idx="83">
                  <c:v>46379</c:v>
                </c:pt>
                <c:pt idx="84">
                  <c:v>46380</c:v>
                </c:pt>
                <c:pt idx="85">
                  <c:v>46381</c:v>
                </c:pt>
                <c:pt idx="86">
                  <c:v>46382</c:v>
                </c:pt>
                <c:pt idx="87">
                  <c:v>46383</c:v>
                </c:pt>
                <c:pt idx="88">
                  <c:v>46384</c:v>
                </c:pt>
                <c:pt idx="89">
                  <c:v>46385</c:v>
                </c:pt>
                <c:pt idx="90">
                  <c:v>46386</c:v>
                </c:pt>
                <c:pt idx="91">
                  <c:v>46387</c:v>
                </c:pt>
                <c:pt idx="92">
                  <c:v>46388</c:v>
                </c:pt>
                <c:pt idx="93">
                  <c:v>46389</c:v>
                </c:pt>
                <c:pt idx="94">
                  <c:v>46390</c:v>
                </c:pt>
                <c:pt idx="95">
                  <c:v>46391</c:v>
                </c:pt>
                <c:pt idx="96">
                  <c:v>46392</c:v>
                </c:pt>
                <c:pt idx="97">
                  <c:v>46393</c:v>
                </c:pt>
                <c:pt idx="98">
                  <c:v>46394</c:v>
                </c:pt>
                <c:pt idx="99">
                  <c:v>46395</c:v>
                </c:pt>
                <c:pt idx="100">
                  <c:v>46396</c:v>
                </c:pt>
                <c:pt idx="101">
                  <c:v>46397</c:v>
                </c:pt>
                <c:pt idx="102">
                  <c:v>46398</c:v>
                </c:pt>
                <c:pt idx="103">
                  <c:v>46399</c:v>
                </c:pt>
                <c:pt idx="104">
                  <c:v>46400</c:v>
                </c:pt>
                <c:pt idx="105">
                  <c:v>46401</c:v>
                </c:pt>
                <c:pt idx="106">
                  <c:v>46402</c:v>
                </c:pt>
                <c:pt idx="107">
                  <c:v>46403</c:v>
                </c:pt>
                <c:pt idx="108">
                  <c:v>46404</c:v>
                </c:pt>
                <c:pt idx="109">
                  <c:v>46405</c:v>
                </c:pt>
                <c:pt idx="110">
                  <c:v>46406</c:v>
                </c:pt>
                <c:pt idx="111">
                  <c:v>46407</c:v>
                </c:pt>
                <c:pt idx="112">
                  <c:v>46408</c:v>
                </c:pt>
                <c:pt idx="113">
                  <c:v>46409</c:v>
                </c:pt>
                <c:pt idx="114">
                  <c:v>46410</c:v>
                </c:pt>
                <c:pt idx="115">
                  <c:v>46411</c:v>
                </c:pt>
                <c:pt idx="116">
                  <c:v>46412</c:v>
                </c:pt>
                <c:pt idx="117">
                  <c:v>46413</c:v>
                </c:pt>
                <c:pt idx="118">
                  <c:v>46414</c:v>
                </c:pt>
                <c:pt idx="119">
                  <c:v>46415</c:v>
                </c:pt>
                <c:pt idx="120">
                  <c:v>46416</c:v>
                </c:pt>
                <c:pt idx="121">
                  <c:v>46417</c:v>
                </c:pt>
                <c:pt idx="122">
                  <c:v>46418</c:v>
                </c:pt>
                <c:pt idx="123">
                  <c:v>46419</c:v>
                </c:pt>
                <c:pt idx="124">
                  <c:v>46420</c:v>
                </c:pt>
                <c:pt idx="125">
                  <c:v>46421</c:v>
                </c:pt>
                <c:pt idx="126">
                  <c:v>46422</c:v>
                </c:pt>
                <c:pt idx="127">
                  <c:v>46423</c:v>
                </c:pt>
                <c:pt idx="128">
                  <c:v>46424</c:v>
                </c:pt>
                <c:pt idx="129">
                  <c:v>46425</c:v>
                </c:pt>
                <c:pt idx="130">
                  <c:v>46426</c:v>
                </c:pt>
                <c:pt idx="131">
                  <c:v>46427</c:v>
                </c:pt>
                <c:pt idx="132">
                  <c:v>46428</c:v>
                </c:pt>
                <c:pt idx="133">
                  <c:v>46429</c:v>
                </c:pt>
                <c:pt idx="134">
                  <c:v>46430</c:v>
                </c:pt>
                <c:pt idx="135">
                  <c:v>46431</c:v>
                </c:pt>
                <c:pt idx="136">
                  <c:v>46432</c:v>
                </c:pt>
                <c:pt idx="137">
                  <c:v>46433</c:v>
                </c:pt>
                <c:pt idx="138">
                  <c:v>46434</c:v>
                </c:pt>
                <c:pt idx="139">
                  <c:v>46435</c:v>
                </c:pt>
                <c:pt idx="140">
                  <c:v>46436</c:v>
                </c:pt>
                <c:pt idx="141">
                  <c:v>46437</c:v>
                </c:pt>
                <c:pt idx="142">
                  <c:v>46438</c:v>
                </c:pt>
                <c:pt idx="143">
                  <c:v>46439</c:v>
                </c:pt>
                <c:pt idx="144">
                  <c:v>46440</c:v>
                </c:pt>
                <c:pt idx="145">
                  <c:v>46441</c:v>
                </c:pt>
                <c:pt idx="146">
                  <c:v>46442</c:v>
                </c:pt>
                <c:pt idx="147">
                  <c:v>46443</c:v>
                </c:pt>
                <c:pt idx="148">
                  <c:v>46444</c:v>
                </c:pt>
                <c:pt idx="149">
                  <c:v>46445</c:v>
                </c:pt>
                <c:pt idx="150">
                  <c:v>46446</c:v>
                </c:pt>
                <c:pt idx="151">
                  <c:v>46447</c:v>
                </c:pt>
                <c:pt idx="152">
                  <c:v>46448</c:v>
                </c:pt>
                <c:pt idx="153">
                  <c:v>46449</c:v>
                </c:pt>
                <c:pt idx="154">
                  <c:v>46450</c:v>
                </c:pt>
                <c:pt idx="155">
                  <c:v>46451</c:v>
                </c:pt>
                <c:pt idx="156">
                  <c:v>46452</c:v>
                </c:pt>
                <c:pt idx="157">
                  <c:v>46453</c:v>
                </c:pt>
                <c:pt idx="158">
                  <c:v>46454</c:v>
                </c:pt>
                <c:pt idx="159">
                  <c:v>46455</c:v>
                </c:pt>
                <c:pt idx="160">
                  <c:v>46456</c:v>
                </c:pt>
                <c:pt idx="161">
                  <c:v>46457</c:v>
                </c:pt>
                <c:pt idx="162">
                  <c:v>46458</c:v>
                </c:pt>
                <c:pt idx="163">
                  <c:v>46459</c:v>
                </c:pt>
                <c:pt idx="164">
                  <c:v>46460</c:v>
                </c:pt>
                <c:pt idx="165">
                  <c:v>46461</c:v>
                </c:pt>
                <c:pt idx="166">
                  <c:v>46462</c:v>
                </c:pt>
                <c:pt idx="167">
                  <c:v>46463</c:v>
                </c:pt>
                <c:pt idx="168">
                  <c:v>46464</c:v>
                </c:pt>
                <c:pt idx="169">
                  <c:v>46465</c:v>
                </c:pt>
                <c:pt idx="170">
                  <c:v>46466</c:v>
                </c:pt>
                <c:pt idx="171">
                  <c:v>46467</c:v>
                </c:pt>
                <c:pt idx="172">
                  <c:v>46468</c:v>
                </c:pt>
                <c:pt idx="173">
                  <c:v>46469</c:v>
                </c:pt>
                <c:pt idx="174">
                  <c:v>46470</c:v>
                </c:pt>
                <c:pt idx="175">
                  <c:v>46471</c:v>
                </c:pt>
                <c:pt idx="176">
                  <c:v>46472</c:v>
                </c:pt>
                <c:pt idx="177">
                  <c:v>46473</c:v>
                </c:pt>
                <c:pt idx="178">
                  <c:v>46474</c:v>
                </c:pt>
                <c:pt idx="179">
                  <c:v>46475</c:v>
                </c:pt>
                <c:pt idx="180">
                  <c:v>46476</c:v>
                </c:pt>
                <c:pt idx="181">
                  <c:v>46477</c:v>
                </c:pt>
                <c:pt idx="182">
                  <c:v>46478</c:v>
                </c:pt>
                <c:pt idx="183">
                  <c:v>46479</c:v>
                </c:pt>
                <c:pt idx="184">
                  <c:v>46480</c:v>
                </c:pt>
                <c:pt idx="185">
                  <c:v>46481</c:v>
                </c:pt>
                <c:pt idx="186">
                  <c:v>46482</c:v>
                </c:pt>
                <c:pt idx="187">
                  <c:v>46483</c:v>
                </c:pt>
                <c:pt idx="188">
                  <c:v>46484</c:v>
                </c:pt>
                <c:pt idx="189">
                  <c:v>46485</c:v>
                </c:pt>
                <c:pt idx="190">
                  <c:v>46486</c:v>
                </c:pt>
                <c:pt idx="191">
                  <c:v>46487</c:v>
                </c:pt>
                <c:pt idx="192">
                  <c:v>46488</c:v>
                </c:pt>
                <c:pt idx="193">
                  <c:v>46489</c:v>
                </c:pt>
                <c:pt idx="194">
                  <c:v>46490</c:v>
                </c:pt>
                <c:pt idx="195">
                  <c:v>46491</c:v>
                </c:pt>
                <c:pt idx="196">
                  <c:v>46492</c:v>
                </c:pt>
                <c:pt idx="197">
                  <c:v>46493</c:v>
                </c:pt>
                <c:pt idx="198">
                  <c:v>46494</c:v>
                </c:pt>
                <c:pt idx="199">
                  <c:v>46495</c:v>
                </c:pt>
                <c:pt idx="200">
                  <c:v>46496</c:v>
                </c:pt>
                <c:pt idx="201">
                  <c:v>46497</c:v>
                </c:pt>
                <c:pt idx="202">
                  <c:v>46498</c:v>
                </c:pt>
                <c:pt idx="203">
                  <c:v>46499</c:v>
                </c:pt>
                <c:pt idx="204">
                  <c:v>46500</c:v>
                </c:pt>
                <c:pt idx="205">
                  <c:v>46501</c:v>
                </c:pt>
                <c:pt idx="206">
                  <c:v>46502</c:v>
                </c:pt>
                <c:pt idx="207">
                  <c:v>46503</c:v>
                </c:pt>
                <c:pt idx="208">
                  <c:v>46504</c:v>
                </c:pt>
                <c:pt idx="209">
                  <c:v>46505</c:v>
                </c:pt>
                <c:pt idx="210">
                  <c:v>46506</c:v>
                </c:pt>
                <c:pt idx="211">
                  <c:v>46507</c:v>
                </c:pt>
              </c:numCache>
            </c:numRef>
          </c:cat>
          <c:val>
            <c:numRef>
              <c:f>'FY1 Event &amp; Demand Timeline'!$E$33:$HH$33</c:f>
              <c:numCache>
                <c:formatCode>#,##0</c:formatCode>
                <c:ptCount val="212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16</c:v>
                </c:pt>
                <c:pt idx="35">
                  <c:v>16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46</c:v>
                </c:pt>
                <c:pt idx="51">
                  <c:v>46</c:v>
                </c:pt>
                <c:pt idx="52">
                  <c:v>46</c:v>
                </c:pt>
                <c:pt idx="53">
                  <c:v>46</c:v>
                </c:pt>
                <c:pt idx="54">
                  <c:v>46</c:v>
                </c:pt>
                <c:pt idx="55">
                  <c:v>46</c:v>
                </c:pt>
                <c:pt idx="56">
                  <c:v>50</c:v>
                </c:pt>
                <c:pt idx="57">
                  <c:v>44</c:v>
                </c:pt>
                <c:pt idx="58">
                  <c:v>38</c:v>
                </c:pt>
                <c:pt idx="59">
                  <c:v>38</c:v>
                </c:pt>
                <c:pt idx="60">
                  <c:v>38</c:v>
                </c:pt>
                <c:pt idx="61">
                  <c:v>38</c:v>
                </c:pt>
                <c:pt idx="62">
                  <c:v>38</c:v>
                </c:pt>
                <c:pt idx="63">
                  <c:v>38</c:v>
                </c:pt>
                <c:pt idx="64">
                  <c:v>38</c:v>
                </c:pt>
                <c:pt idx="65">
                  <c:v>38</c:v>
                </c:pt>
                <c:pt idx="66">
                  <c:v>38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14</c:v>
                </c:pt>
                <c:pt idx="123">
                  <c:v>14</c:v>
                </c:pt>
                <c:pt idx="124">
                  <c:v>14</c:v>
                </c:pt>
                <c:pt idx="125">
                  <c:v>14</c:v>
                </c:pt>
                <c:pt idx="126">
                  <c:v>14</c:v>
                </c:pt>
                <c:pt idx="127">
                  <c:v>14</c:v>
                </c:pt>
                <c:pt idx="128">
                  <c:v>14</c:v>
                </c:pt>
                <c:pt idx="129">
                  <c:v>14</c:v>
                </c:pt>
                <c:pt idx="130">
                  <c:v>14</c:v>
                </c:pt>
                <c:pt idx="131">
                  <c:v>14</c:v>
                </c:pt>
                <c:pt idx="132">
                  <c:v>14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14</c:v>
                </c:pt>
                <c:pt idx="138">
                  <c:v>14</c:v>
                </c:pt>
                <c:pt idx="139">
                  <c:v>14</c:v>
                </c:pt>
                <c:pt idx="140">
                  <c:v>14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6F40-AF05-787DBCA22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01567"/>
        <c:axId val="230431743"/>
      </c:lineChart>
      <c:dateAx>
        <c:axId val="191501567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230431743"/>
        <c:crosses val="autoZero"/>
        <c:auto val="1"/>
        <c:lblOffset val="100"/>
        <c:baseTimeUnit val="days"/>
      </c:dateAx>
      <c:valAx>
        <c:axId val="23043174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19150156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Barriers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cat>
            <c:numRef>
              <c:f>'FY1 Event &amp; Demand Timeline'!$E$5:$HH$5</c:f>
              <c:numCache>
                <c:formatCode>d\-mmm</c:formatCode>
                <c:ptCount val="212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46326</c:v>
                </c:pt>
                <c:pt idx="31">
                  <c:v>46327</c:v>
                </c:pt>
                <c:pt idx="32">
                  <c:v>46328</c:v>
                </c:pt>
                <c:pt idx="33">
                  <c:v>46329</c:v>
                </c:pt>
                <c:pt idx="34">
                  <c:v>46330</c:v>
                </c:pt>
                <c:pt idx="35">
                  <c:v>46331</c:v>
                </c:pt>
                <c:pt idx="36">
                  <c:v>46332</c:v>
                </c:pt>
                <c:pt idx="37">
                  <c:v>46333</c:v>
                </c:pt>
                <c:pt idx="38">
                  <c:v>46334</c:v>
                </c:pt>
                <c:pt idx="39">
                  <c:v>46335</c:v>
                </c:pt>
                <c:pt idx="40">
                  <c:v>46336</c:v>
                </c:pt>
                <c:pt idx="41">
                  <c:v>46337</c:v>
                </c:pt>
                <c:pt idx="42">
                  <c:v>46338</c:v>
                </c:pt>
                <c:pt idx="43">
                  <c:v>46339</c:v>
                </c:pt>
                <c:pt idx="44">
                  <c:v>46340</c:v>
                </c:pt>
                <c:pt idx="45">
                  <c:v>46341</c:v>
                </c:pt>
                <c:pt idx="46">
                  <c:v>46342</c:v>
                </c:pt>
                <c:pt idx="47">
                  <c:v>46343</c:v>
                </c:pt>
                <c:pt idx="48">
                  <c:v>46344</c:v>
                </c:pt>
                <c:pt idx="49">
                  <c:v>46345</c:v>
                </c:pt>
                <c:pt idx="50">
                  <c:v>46346</c:v>
                </c:pt>
                <c:pt idx="51">
                  <c:v>46347</c:v>
                </c:pt>
                <c:pt idx="52">
                  <c:v>46348</c:v>
                </c:pt>
                <c:pt idx="53">
                  <c:v>46349</c:v>
                </c:pt>
                <c:pt idx="54">
                  <c:v>46350</c:v>
                </c:pt>
                <c:pt idx="55">
                  <c:v>46351</c:v>
                </c:pt>
                <c:pt idx="56">
                  <c:v>46352</c:v>
                </c:pt>
                <c:pt idx="57">
                  <c:v>46353</c:v>
                </c:pt>
                <c:pt idx="58">
                  <c:v>46354</c:v>
                </c:pt>
                <c:pt idx="59">
                  <c:v>46355</c:v>
                </c:pt>
                <c:pt idx="60">
                  <c:v>46356</c:v>
                </c:pt>
                <c:pt idx="61">
                  <c:v>46357</c:v>
                </c:pt>
                <c:pt idx="62">
                  <c:v>46358</c:v>
                </c:pt>
                <c:pt idx="63">
                  <c:v>46359</c:v>
                </c:pt>
                <c:pt idx="64">
                  <c:v>46360</c:v>
                </c:pt>
                <c:pt idx="65">
                  <c:v>46361</c:v>
                </c:pt>
                <c:pt idx="66">
                  <c:v>46362</c:v>
                </c:pt>
                <c:pt idx="67">
                  <c:v>46363</c:v>
                </c:pt>
                <c:pt idx="68">
                  <c:v>46364</c:v>
                </c:pt>
                <c:pt idx="69">
                  <c:v>46365</c:v>
                </c:pt>
                <c:pt idx="70">
                  <c:v>46366</c:v>
                </c:pt>
                <c:pt idx="71">
                  <c:v>46367</c:v>
                </c:pt>
                <c:pt idx="72">
                  <c:v>46368</c:v>
                </c:pt>
                <c:pt idx="73">
                  <c:v>46369</c:v>
                </c:pt>
                <c:pt idx="74">
                  <c:v>46370</c:v>
                </c:pt>
                <c:pt idx="75">
                  <c:v>46371</c:v>
                </c:pt>
                <c:pt idx="76">
                  <c:v>46372</c:v>
                </c:pt>
                <c:pt idx="77">
                  <c:v>46373</c:v>
                </c:pt>
                <c:pt idx="78">
                  <c:v>46374</c:v>
                </c:pt>
                <c:pt idx="79">
                  <c:v>46375</c:v>
                </c:pt>
                <c:pt idx="80">
                  <c:v>46376</c:v>
                </c:pt>
                <c:pt idx="81">
                  <c:v>46377</c:v>
                </c:pt>
                <c:pt idx="82">
                  <c:v>46378</c:v>
                </c:pt>
                <c:pt idx="83">
                  <c:v>46379</c:v>
                </c:pt>
                <c:pt idx="84">
                  <c:v>46380</c:v>
                </c:pt>
                <c:pt idx="85">
                  <c:v>46381</c:v>
                </c:pt>
                <c:pt idx="86">
                  <c:v>46382</c:v>
                </c:pt>
                <c:pt idx="87">
                  <c:v>46383</c:v>
                </c:pt>
                <c:pt idx="88">
                  <c:v>46384</c:v>
                </c:pt>
                <c:pt idx="89">
                  <c:v>46385</c:v>
                </c:pt>
                <c:pt idx="90">
                  <c:v>46386</c:v>
                </c:pt>
                <c:pt idx="91">
                  <c:v>46387</c:v>
                </c:pt>
                <c:pt idx="92">
                  <c:v>46388</c:v>
                </c:pt>
                <c:pt idx="93">
                  <c:v>46389</c:v>
                </c:pt>
                <c:pt idx="94">
                  <c:v>46390</c:v>
                </c:pt>
                <c:pt idx="95">
                  <c:v>46391</c:v>
                </c:pt>
                <c:pt idx="96">
                  <c:v>46392</c:v>
                </c:pt>
                <c:pt idx="97">
                  <c:v>46393</c:v>
                </c:pt>
                <c:pt idx="98">
                  <c:v>46394</c:v>
                </c:pt>
                <c:pt idx="99">
                  <c:v>46395</c:v>
                </c:pt>
                <c:pt idx="100">
                  <c:v>46396</c:v>
                </c:pt>
                <c:pt idx="101">
                  <c:v>46397</c:v>
                </c:pt>
                <c:pt idx="102">
                  <c:v>46398</c:v>
                </c:pt>
                <c:pt idx="103">
                  <c:v>46399</c:v>
                </c:pt>
                <c:pt idx="104">
                  <c:v>46400</c:v>
                </c:pt>
                <c:pt idx="105">
                  <c:v>46401</c:v>
                </c:pt>
                <c:pt idx="106">
                  <c:v>46402</c:v>
                </c:pt>
                <c:pt idx="107">
                  <c:v>46403</c:v>
                </c:pt>
                <c:pt idx="108">
                  <c:v>46404</c:v>
                </c:pt>
                <c:pt idx="109">
                  <c:v>46405</c:v>
                </c:pt>
                <c:pt idx="110">
                  <c:v>46406</c:v>
                </c:pt>
                <c:pt idx="111">
                  <c:v>46407</c:v>
                </c:pt>
                <c:pt idx="112">
                  <c:v>46408</c:v>
                </c:pt>
                <c:pt idx="113">
                  <c:v>46409</c:v>
                </c:pt>
                <c:pt idx="114">
                  <c:v>46410</c:v>
                </c:pt>
                <c:pt idx="115">
                  <c:v>46411</c:v>
                </c:pt>
                <c:pt idx="116">
                  <c:v>46412</c:v>
                </c:pt>
                <c:pt idx="117">
                  <c:v>46413</c:v>
                </c:pt>
                <c:pt idx="118">
                  <c:v>46414</c:v>
                </c:pt>
                <c:pt idx="119">
                  <c:v>46415</c:v>
                </c:pt>
                <c:pt idx="120">
                  <c:v>46416</c:v>
                </c:pt>
                <c:pt idx="121">
                  <c:v>46417</c:v>
                </c:pt>
                <c:pt idx="122">
                  <c:v>46418</c:v>
                </c:pt>
                <c:pt idx="123">
                  <c:v>46419</c:v>
                </c:pt>
                <c:pt idx="124">
                  <c:v>46420</c:v>
                </c:pt>
                <c:pt idx="125">
                  <c:v>46421</c:v>
                </c:pt>
                <c:pt idx="126">
                  <c:v>46422</c:v>
                </c:pt>
                <c:pt idx="127">
                  <c:v>46423</c:v>
                </c:pt>
                <c:pt idx="128">
                  <c:v>46424</c:v>
                </c:pt>
                <c:pt idx="129">
                  <c:v>46425</c:v>
                </c:pt>
                <c:pt idx="130">
                  <c:v>46426</c:v>
                </c:pt>
                <c:pt idx="131">
                  <c:v>46427</c:v>
                </c:pt>
                <c:pt idx="132">
                  <c:v>46428</c:v>
                </c:pt>
                <c:pt idx="133">
                  <c:v>46429</c:v>
                </c:pt>
                <c:pt idx="134">
                  <c:v>46430</c:v>
                </c:pt>
                <c:pt idx="135">
                  <c:v>46431</c:v>
                </c:pt>
                <c:pt idx="136">
                  <c:v>46432</c:v>
                </c:pt>
                <c:pt idx="137">
                  <c:v>46433</c:v>
                </c:pt>
                <c:pt idx="138">
                  <c:v>46434</c:v>
                </c:pt>
                <c:pt idx="139">
                  <c:v>46435</c:v>
                </c:pt>
                <c:pt idx="140">
                  <c:v>46436</c:v>
                </c:pt>
                <c:pt idx="141">
                  <c:v>46437</c:v>
                </c:pt>
                <c:pt idx="142">
                  <c:v>46438</c:v>
                </c:pt>
                <c:pt idx="143">
                  <c:v>46439</c:v>
                </c:pt>
                <c:pt idx="144">
                  <c:v>46440</c:v>
                </c:pt>
                <c:pt idx="145">
                  <c:v>46441</c:v>
                </c:pt>
                <c:pt idx="146">
                  <c:v>46442</c:v>
                </c:pt>
                <c:pt idx="147">
                  <c:v>46443</c:v>
                </c:pt>
                <c:pt idx="148">
                  <c:v>46444</c:v>
                </c:pt>
                <c:pt idx="149">
                  <c:v>46445</c:v>
                </c:pt>
                <c:pt idx="150">
                  <c:v>46446</c:v>
                </c:pt>
                <c:pt idx="151">
                  <c:v>46447</c:v>
                </c:pt>
                <c:pt idx="152">
                  <c:v>46448</c:v>
                </c:pt>
                <c:pt idx="153">
                  <c:v>46449</c:v>
                </c:pt>
                <c:pt idx="154">
                  <c:v>46450</c:v>
                </c:pt>
                <c:pt idx="155">
                  <c:v>46451</c:v>
                </c:pt>
                <c:pt idx="156">
                  <c:v>46452</c:v>
                </c:pt>
                <c:pt idx="157">
                  <c:v>46453</c:v>
                </c:pt>
                <c:pt idx="158">
                  <c:v>46454</c:v>
                </c:pt>
                <c:pt idx="159">
                  <c:v>46455</c:v>
                </c:pt>
                <c:pt idx="160">
                  <c:v>46456</c:v>
                </c:pt>
                <c:pt idx="161">
                  <c:v>46457</c:v>
                </c:pt>
                <c:pt idx="162">
                  <c:v>46458</c:v>
                </c:pt>
                <c:pt idx="163">
                  <c:v>46459</c:v>
                </c:pt>
                <c:pt idx="164">
                  <c:v>46460</c:v>
                </c:pt>
                <c:pt idx="165">
                  <c:v>46461</c:v>
                </c:pt>
                <c:pt idx="166">
                  <c:v>46462</c:v>
                </c:pt>
                <c:pt idx="167">
                  <c:v>46463</c:v>
                </c:pt>
                <c:pt idx="168">
                  <c:v>46464</c:v>
                </c:pt>
                <c:pt idx="169">
                  <c:v>46465</c:v>
                </c:pt>
                <c:pt idx="170">
                  <c:v>46466</c:v>
                </c:pt>
                <c:pt idx="171">
                  <c:v>46467</c:v>
                </c:pt>
                <c:pt idx="172">
                  <c:v>46468</c:v>
                </c:pt>
                <c:pt idx="173">
                  <c:v>46469</c:v>
                </c:pt>
                <c:pt idx="174">
                  <c:v>46470</c:v>
                </c:pt>
                <c:pt idx="175">
                  <c:v>46471</c:v>
                </c:pt>
                <c:pt idx="176">
                  <c:v>46472</c:v>
                </c:pt>
                <c:pt idx="177">
                  <c:v>46473</c:v>
                </c:pt>
                <c:pt idx="178">
                  <c:v>46474</c:v>
                </c:pt>
                <c:pt idx="179">
                  <c:v>46475</c:v>
                </c:pt>
                <c:pt idx="180">
                  <c:v>46476</c:v>
                </c:pt>
                <c:pt idx="181">
                  <c:v>46477</c:v>
                </c:pt>
                <c:pt idx="182">
                  <c:v>46478</c:v>
                </c:pt>
                <c:pt idx="183">
                  <c:v>46479</c:v>
                </c:pt>
                <c:pt idx="184">
                  <c:v>46480</c:v>
                </c:pt>
                <c:pt idx="185">
                  <c:v>46481</c:v>
                </c:pt>
                <c:pt idx="186">
                  <c:v>46482</c:v>
                </c:pt>
                <c:pt idx="187">
                  <c:v>46483</c:v>
                </c:pt>
                <c:pt idx="188">
                  <c:v>46484</c:v>
                </c:pt>
                <c:pt idx="189">
                  <c:v>46485</c:v>
                </c:pt>
                <c:pt idx="190">
                  <c:v>46486</c:v>
                </c:pt>
                <c:pt idx="191">
                  <c:v>46487</c:v>
                </c:pt>
                <c:pt idx="192">
                  <c:v>46488</c:v>
                </c:pt>
                <c:pt idx="193">
                  <c:v>46489</c:v>
                </c:pt>
                <c:pt idx="194">
                  <c:v>46490</c:v>
                </c:pt>
                <c:pt idx="195">
                  <c:v>46491</c:v>
                </c:pt>
                <c:pt idx="196">
                  <c:v>46492</c:v>
                </c:pt>
                <c:pt idx="197">
                  <c:v>46493</c:v>
                </c:pt>
                <c:pt idx="198">
                  <c:v>46494</c:v>
                </c:pt>
                <c:pt idx="199">
                  <c:v>46495</c:v>
                </c:pt>
                <c:pt idx="200">
                  <c:v>46496</c:v>
                </c:pt>
                <c:pt idx="201">
                  <c:v>46497</c:v>
                </c:pt>
                <c:pt idx="202">
                  <c:v>46498</c:v>
                </c:pt>
                <c:pt idx="203">
                  <c:v>46499</c:v>
                </c:pt>
                <c:pt idx="204">
                  <c:v>46500</c:v>
                </c:pt>
                <c:pt idx="205">
                  <c:v>46501</c:v>
                </c:pt>
                <c:pt idx="206">
                  <c:v>46502</c:v>
                </c:pt>
                <c:pt idx="207">
                  <c:v>46503</c:v>
                </c:pt>
                <c:pt idx="208">
                  <c:v>46504</c:v>
                </c:pt>
                <c:pt idx="209">
                  <c:v>46505</c:v>
                </c:pt>
                <c:pt idx="210">
                  <c:v>46506</c:v>
                </c:pt>
                <c:pt idx="211">
                  <c:v>46507</c:v>
                </c:pt>
              </c:numCache>
            </c:numRef>
          </c:cat>
          <c:val>
            <c:numRef>
              <c:f>'FY1 Event &amp; Demand Timeline'!$E$47:$HH$47</c:f>
              <c:numCache>
                <c:formatCode>#,##0</c:formatCode>
                <c:ptCount val="2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350</c:v>
                </c:pt>
                <c:pt idx="35">
                  <c:v>350</c:v>
                </c:pt>
                <c:pt idx="36">
                  <c:v>350</c:v>
                </c:pt>
                <c:pt idx="37">
                  <c:v>350</c:v>
                </c:pt>
                <c:pt idx="38">
                  <c:v>350</c:v>
                </c:pt>
                <c:pt idx="39">
                  <c:v>350</c:v>
                </c:pt>
                <c:pt idx="40">
                  <c:v>700</c:v>
                </c:pt>
                <c:pt idx="41">
                  <c:v>700</c:v>
                </c:pt>
                <c:pt idx="42">
                  <c:v>700</c:v>
                </c:pt>
                <c:pt idx="43">
                  <c:v>700</c:v>
                </c:pt>
                <c:pt idx="44">
                  <c:v>1600</c:v>
                </c:pt>
                <c:pt idx="45">
                  <c:v>1600</c:v>
                </c:pt>
                <c:pt idx="46">
                  <c:v>1600</c:v>
                </c:pt>
                <c:pt idx="47">
                  <c:v>1600</c:v>
                </c:pt>
                <c:pt idx="48">
                  <c:v>1600</c:v>
                </c:pt>
                <c:pt idx="49">
                  <c:v>1600</c:v>
                </c:pt>
                <c:pt idx="50">
                  <c:v>2300</c:v>
                </c:pt>
                <c:pt idx="51">
                  <c:v>2300</c:v>
                </c:pt>
                <c:pt idx="52">
                  <c:v>2300</c:v>
                </c:pt>
                <c:pt idx="53">
                  <c:v>2300</c:v>
                </c:pt>
                <c:pt idx="54">
                  <c:v>2300</c:v>
                </c:pt>
                <c:pt idx="55">
                  <c:v>2300</c:v>
                </c:pt>
                <c:pt idx="56">
                  <c:v>2944</c:v>
                </c:pt>
                <c:pt idx="57">
                  <c:v>2408</c:v>
                </c:pt>
                <c:pt idx="58">
                  <c:v>2408</c:v>
                </c:pt>
                <c:pt idx="59">
                  <c:v>2408</c:v>
                </c:pt>
                <c:pt idx="60">
                  <c:v>2408</c:v>
                </c:pt>
                <c:pt idx="61">
                  <c:v>2408</c:v>
                </c:pt>
                <c:pt idx="62">
                  <c:v>2408</c:v>
                </c:pt>
                <c:pt idx="63">
                  <c:v>2408</c:v>
                </c:pt>
                <c:pt idx="64">
                  <c:v>2408</c:v>
                </c:pt>
                <c:pt idx="65">
                  <c:v>2408</c:v>
                </c:pt>
                <c:pt idx="66">
                  <c:v>2408</c:v>
                </c:pt>
                <c:pt idx="67">
                  <c:v>2058</c:v>
                </c:pt>
                <c:pt idx="68">
                  <c:v>2058</c:v>
                </c:pt>
                <c:pt idx="69">
                  <c:v>2058</c:v>
                </c:pt>
                <c:pt idx="70">
                  <c:v>1344</c:v>
                </c:pt>
                <c:pt idx="71">
                  <c:v>1344</c:v>
                </c:pt>
                <c:pt idx="72">
                  <c:v>1344</c:v>
                </c:pt>
                <c:pt idx="73">
                  <c:v>1344</c:v>
                </c:pt>
                <c:pt idx="74">
                  <c:v>1344</c:v>
                </c:pt>
                <c:pt idx="75">
                  <c:v>1344</c:v>
                </c:pt>
                <c:pt idx="76">
                  <c:v>1344</c:v>
                </c:pt>
                <c:pt idx="77">
                  <c:v>1344</c:v>
                </c:pt>
                <c:pt idx="78">
                  <c:v>1344</c:v>
                </c:pt>
                <c:pt idx="79">
                  <c:v>1344</c:v>
                </c:pt>
                <c:pt idx="80">
                  <c:v>1344</c:v>
                </c:pt>
                <c:pt idx="81">
                  <c:v>1344</c:v>
                </c:pt>
                <c:pt idx="82">
                  <c:v>1344</c:v>
                </c:pt>
                <c:pt idx="83">
                  <c:v>1344</c:v>
                </c:pt>
                <c:pt idx="84">
                  <c:v>1344</c:v>
                </c:pt>
                <c:pt idx="85">
                  <c:v>1344</c:v>
                </c:pt>
                <c:pt idx="86">
                  <c:v>1344</c:v>
                </c:pt>
                <c:pt idx="87">
                  <c:v>1344</c:v>
                </c:pt>
                <c:pt idx="88">
                  <c:v>1344</c:v>
                </c:pt>
                <c:pt idx="89">
                  <c:v>700</c:v>
                </c:pt>
                <c:pt idx="90">
                  <c:v>700</c:v>
                </c:pt>
                <c:pt idx="91">
                  <c:v>700</c:v>
                </c:pt>
                <c:pt idx="92">
                  <c:v>700</c:v>
                </c:pt>
                <c:pt idx="93">
                  <c:v>700</c:v>
                </c:pt>
                <c:pt idx="94">
                  <c:v>700</c:v>
                </c:pt>
                <c:pt idx="95">
                  <c:v>700</c:v>
                </c:pt>
                <c:pt idx="96">
                  <c:v>700</c:v>
                </c:pt>
                <c:pt idx="97">
                  <c:v>700</c:v>
                </c:pt>
                <c:pt idx="98">
                  <c:v>700</c:v>
                </c:pt>
                <c:pt idx="99">
                  <c:v>700</c:v>
                </c:pt>
                <c:pt idx="100">
                  <c:v>700</c:v>
                </c:pt>
                <c:pt idx="101">
                  <c:v>700</c:v>
                </c:pt>
                <c:pt idx="102">
                  <c:v>700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288</c:v>
                </c:pt>
                <c:pt idx="119">
                  <c:v>288</c:v>
                </c:pt>
                <c:pt idx="120">
                  <c:v>288</c:v>
                </c:pt>
                <c:pt idx="121">
                  <c:v>288</c:v>
                </c:pt>
                <c:pt idx="122">
                  <c:v>288</c:v>
                </c:pt>
                <c:pt idx="123">
                  <c:v>288</c:v>
                </c:pt>
                <c:pt idx="124">
                  <c:v>288</c:v>
                </c:pt>
                <c:pt idx="125">
                  <c:v>288</c:v>
                </c:pt>
                <c:pt idx="126">
                  <c:v>288</c:v>
                </c:pt>
                <c:pt idx="127">
                  <c:v>288</c:v>
                </c:pt>
                <c:pt idx="128">
                  <c:v>288</c:v>
                </c:pt>
                <c:pt idx="129">
                  <c:v>288</c:v>
                </c:pt>
                <c:pt idx="130">
                  <c:v>288</c:v>
                </c:pt>
                <c:pt idx="131">
                  <c:v>288</c:v>
                </c:pt>
                <c:pt idx="132">
                  <c:v>288</c:v>
                </c:pt>
                <c:pt idx="133">
                  <c:v>288</c:v>
                </c:pt>
                <c:pt idx="134">
                  <c:v>288</c:v>
                </c:pt>
                <c:pt idx="135">
                  <c:v>288</c:v>
                </c:pt>
                <c:pt idx="136">
                  <c:v>288</c:v>
                </c:pt>
                <c:pt idx="137">
                  <c:v>288</c:v>
                </c:pt>
                <c:pt idx="138">
                  <c:v>288</c:v>
                </c:pt>
                <c:pt idx="139">
                  <c:v>288</c:v>
                </c:pt>
                <c:pt idx="140">
                  <c:v>288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775</c:v>
                </c:pt>
                <c:pt idx="171">
                  <c:v>775</c:v>
                </c:pt>
                <c:pt idx="172">
                  <c:v>775</c:v>
                </c:pt>
                <c:pt idx="173">
                  <c:v>775</c:v>
                </c:pt>
                <c:pt idx="174">
                  <c:v>775</c:v>
                </c:pt>
                <c:pt idx="175">
                  <c:v>775</c:v>
                </c:pt>
                <c:pt idx="176">
                  <c:v>775</c:v>
                </c:pt>
                <c:pt idx="177">
                  <c:v>775</c:v>
                </c:pt>
                <c:pt idx="178">
                  <c:v>775</c:v>
                </c:pt>
                <c:pt idx="179">
                  <c:v>775</c:v>
                </c:pt>
                <c:pt idx="180">
                  <c:v>775</c:v>
                </c:pt>
                <c:pt idx="181">
                  <c:v>775</c:v>
                </c:pt>
                <c:pt idx="182">
                  <c:v>775</c:v>
                </c:pt>
                <c:pt idx="183">
                  <c:v>775</c:v>
                </c:pt>
                <c:pt idx="184">
                  <c:v>775</c:v>
                </c:pt>
                <c:pt idx="185">
                  <c:v>775</c:v>
                </c:pt>
                <c:pt idx="186">
                  <c:v>775</c:v>
                </c:pt>
                <c:pt idx="187">
                  <c:v>775</c:v>
                </c:pt>
                <c:pt idx="188">
                  <c:v>775</c:v>
                </c:pt>
                <c:pt idx="189">
                  <c:v>775</c:v>
                </c:pt>
                <c:pt idx="190">
                  <c:v>775</c:v>
                </c:pt>
                <c:pt idx="191">
                  <c:v>775</c:v>
                </c:pt>
                <c:pt idx="192">
                  <c:v>775</c:v>
                </c:pt>
                <c:pt idx="193">
                  <c:v>775</c:v>
                </c:pt>
                <c:pt idx="194">
                  <c:v>775</c:v>
                </c:pt>
                <c:pt idx="195">
                  <c:v>775</c:v>
                </c:pt>
                <c:pt idx="196">
                  <c:v>2275</c:v>
                </c:pt>
                <c:pt idx="197">
                  <c:v>2275</c:v>
                </c:pt>
                <c:pt idx="198">
                  <c:v>2275</c:v>
                </c:pt>
                <c:pt idx="199">
                  <c:v>2275</c:v>
                </c:pt>
                <c:pt idx="200">
                  <c:v>2275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6-364A-B8A1-DFC7E2376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01567"/>
        <c:axId val="230431743"/>
      </c:lineChart>
      <c:dateAx>
        <c:axId val="191501567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230431743"/>
        <c:crosses val="autoZero"/>
        <c:auto val="1"/>
        <c:lblOffset val="100"/>
        <c:baseTimeUnit val="days"/>
      </c:dateAx>
      <c:valAx>
        <c:axId val="23043174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19150156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Fencing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cat>
            <c:numRef>
              <c:f>'FY1 Event &amp; Demand Timeline'!$E$5:$HH$5</c:f>
              <c:numCache>
                <c:formatCode>d\-mmm</c:formatCode>
                <c:ptCount val="212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46326</c:v>
                </c:pt>
                <c:pt idx="31">
                  <c:v>46327</c:v>
                </c:pt>
                <c:pt idx="32">
                  <c:v>46328</c:v>
                </c:pt>
                <c:pt idx="33">
                  <c:v>46329</c:v>
                </c:pt>
                <c:pt idx="34">
                  <c:v>46330</c:v>
                </c:pt>
                <c:pt idx="35">
                  <c:v>46331</c:v>
                </c:pt>
                <c:pt idx="36">
                  <c:v>46332</c:v>
                </c:pt>
                <c:pt idx="37">
                  <c:v>46333</c:v>
                </c:pt>
                <c:pt idx="38">
                  <c:v>46334</c:v>
                </c:pt>
                <c:pt idx="39">
                  <c:v>46335</c:v>
                </c:pt>
                <c:pt idx="40">
                  <c:v>46336</c:v>
                </c:pt>
                <c:pt idx="41">
                  <c:v>46337</c:v>
                </c:pt>
                <c:pt idx="42">
                  <c:v>46338</c:v>
                </c:pt>
                <c:pt idx="43">
                  <c:v>46339</c:v>
                </c:pt>
                <c:pt idx="44">
                  <c:v>46340</c:v>
                </c:pt>
                <c:pt idx="45">
                  <c:v>46341</c:v>
                </c:pt>
                <c:pt idx="46">
                  <c:v>46342</c:v>
                </c:pt>
                <c:pt idx="47">
                  <c:v>46343</c:v>
                </c:pt>
                <c:pt idx="48">
                  <c:v>46344</c:v>
                </c:pt>
                <c:pt idx="49">
                  <c:v>46345</c:v>
                </c:pt>
                <c:pt idx="50">
                  <c:v>46346</c:v>
                </c:pt>
                <c:pt idx="51">
                  <c:v>46347</c:v>
                </c:pt>
                <c:pt idx="52">
                  <c:v>46348</c:v>
                </c:pt>
                <c:pt idx="53">
                  <c:v>46349</c:v>
                </c:pt>
                <c:pt idx="54">
                  <c:v>46350</c:v>
                </c:pt>
                <c:pt idx="55">
                  <c:v>46351</c:v>
                </c:pt>
                <c:pt idx="56">
                  <c:v>46352</c:v>
                </c:pt>
                <c:pt idx="57">
                  <c:v>46353</c:v>
                </c:pt>
                <c:pt idx="58">
                  <c:v>46354</c:v>
                </c:pt>
                <c:pt idx="59">
                  <c:v>46355</c:v>
                </c:pt>
                <c:pt idx="60">
                  <c:v>46356</c:v>
                </c:pt>
                <c:pt idx="61">
                  <c:v>46357</c:v>
                </c:pt>
                <c:pt idx="62">
                  <c:v>46358</c:v>
                </c:pt>
                <c:pt idx="63">
                  <c:v>46359</c:v>
                </c:pt>
                <c:pt idx="64">
                  <c:v>46360</c:v>
                </c:pt>
                <c:pt idx="65">
                  <c:v>46361</c:v>
                </c:pt>
                <c:pt idx="66">
                  <c:v>46362</c:v>
                </c:pt>
                <c:pt idx="67">
                  <c:v>46363</c:v>
                </c:pt>
                <c:pt idx="68">
                  <c:v>46364</c:v>
                </c:pt>
                <c:pt idx="69">
                  <c:v>46365</c:v>
                </c:pt>
                <c:pt idx="70">
                  <c:v>46366</c:v>
                </c:pt>
                <c:pt idx="71">
                  <c:v>46367</c:v>
                </c:pt>
                <c:pt idx="72">
                  <c:v>46368</c:v>
                </c:pt>
                <c:pt idx="73">
                  <c:v>46369</c:v>
                </c:pt>
                <c:pt idx="74">
                  <c:v>46370</c:v>
                </c:pt>
                <c:pt idx="75">
                  <c:v>46371</c:v>
                </c:pt>
                <c:pt idx="76">
                  <c:v>46372</c:v>
                </c:pt>
                <c:pt idx="77">
                  <c:v>46373</c:v>
                </c:pt>
                <c:pt idx="78">
                  <c:v>46374</c:v>
                </c:pt>
                <c:pt idx="79">
                  <c:v>46375</c:v>
                </c:pt>
                <c:pt idx="80">
                  <c:v>46376</c:v>
                </c:pt>
                <c:pt idx="81">
                  <c:v>46377</c:v>
                </c:pt>
                <c:pt idx="82">
                  <c:v>46378</c:v>
                </c:pt>
                <c:pt idx="83">
                  <c:v>46379</c:v>
                </c:pt>
                <c:pt idx="84">
                  <c:v>46380</c:v>
                </c:pt>
                <c:pt idx="85">
                  <c:v>46381</c:v>
                </c:pt>
                <c:pt idx="86">
                  <c:v>46382</c:v>
                </c:pt>
                <c:pt idx="87">
                  <c:v>46383</c:v>
                </c:pt>
                <c:pt idx="88">
                  <c:v>46384</c:v>
                </c:pt>
                <c:pt idx="89">
                  <c:v>46385</c:v>
                </c:pt>
                <c:pt idx="90">
                  <c:v>46386</c:v>
                </c:pt>
                <c:pt idx="91">
                  <c:v>46387</c:v>
                </c:pt>
                <c:pt idx="92">
                  <c:v>46388</c:v>
                </c:pt>
                <c:pt idx="93">
                  <c:v>46389</c:v>
                </c:pt>
                <c:pt idx="94">
                  <c:v>46390</c:v>
                </c:pt>
                <c:pt idx="95">
                  <c:v>46391</c:v>
                </c:pt>
                <c:pt idx="96">
                  <c:v>46392</c:v>
                </c:pt>
                <c:pt idx="97">
                  <c:v>46393</c:v>
                </c:pt>
                <c:pt idx="98">
                  <c:v>46394</c:v>
                </c:pt>
                <c:pt idx="99">
                  <c:v>46395</c:v>
                </c:pt>
                <c:pt idx="100">
                  <c:v>46396</c:v>
                </c:pt>
                <c:pt idx="101">
                  <c:v>46397</c:v>
                </c:pt>
                <c:pt idx="102">
                  <c:v>46398</c:v>
                </c:pt>
                <c:pt idx="103">
                  <c:v>46399</c:v>
                </c:pt>
                <c:pt idx="104">
                  <c:v>46400</c:v>
                </c:pt>
                <c:pt idx="105">
                  <c:v>46401</c:v>
                </c:pt>
                <c:pt idx="106">
                  <c:v>46402</c:v>
                </c:pt>
                <c:pt idx="107">
                  <c:v>46403</c:v>
                </c:pt>
                <c:pt idx="108">
                  <c:v>46404</c:v>
                </c:pt>
                <c:pt idx="109">
                  <c:v>46405</c:v>
                </c:pt>
                <c:pt idx="110">
                  <c:v>46406</c:v>
                </c:pt>
                <c:pt idx="111">
                  <c:v>46407</c:v>
                </c:pt>
                <c:pt idx="112">
                  <c:v>46408</c:v>
                </c:pt>
                <c:pt idx="113">
                  <c:v>46409</c:v>
                </c:pt>
                <c:pt idx="114">
                  <c:v>46410</c:v>
                </c:pt>
                <c:pt idx="115">
                  <c:v>46411</c:v>
                </c:pt>
                <c:pt idx="116">
                  <c:v>46412</c:v>
                </c:pt>
                <c:pt idx="117">
                  <c:v>46413</c:v>
                </c:pt>
                <c:pt idx="118">
                  <c:v>46414</c:v>
                </c:pt>
                <c:pt idx="119">
                  <c:v>46415</c:v>
                </c:pt>
                <c:pt idx="120">
                  <c:v>46416</c:v>
                </c:pt>
                <c:pt idx="121">
                  <c:v>46417</c:v>
                </c:pt>
                <c:pt idx="122">
                  <c:v>46418</c:v>
                </c:pt>
                <c:pt idx="123">
                  <c:v>46419</c:v>
                </c:pt>
                <c:pt idx="124">
                  <c:v>46420</c:v>
                </c:pt>
                <c:pt idx="125">
                  <c:v>46421</c:v>
                </c:pt>
                <c:pt idx="126">
                  <c:v>46422</c:v>
                </c:pt>
                <c:pt idx="127">
                  <c:v>46423</c:v>
                </c:pt>
                <c:pt idx="128">
                  <c:v>46424</c:v>
                </c:pt>
                <c:pt idx="129">
                  <c:v>46425</c:v>
                </c:pt>
                <c:pt idx="130">
                  <c:v>46426</c:v>
                </c:pt>
                <c:pt idx="131">
                  <c:v>46427</c:v>
                </c:pt>
                <c:pt idx="132">
                  <c:v>46428</c:v>
                </c:pt>
                <c:pt idx="133">
                  <c:v>46429</c:v>
                </c:pt>
                <c:pt idx="134">
                  <c:v>46430</c:v>
                </c:pt>
                <c:pt idx="135">
                  <c:v>46431</c:v>
                </c:pt>
                <c:pt idx="136">
                  <c:v>46432</c:v>
                </c:pt>
                <c:pt idx="137">
                  <c:v>46433</c:v>
                </c:pt>
                <c:pt idx="138">
                  <c:v>46434</c:v>
                </c:pt>
                <c:pt idx="139">
                  <c:v>46435</c:v>
                </c:pt>
                <c:pt idx="140">
                  <c:v>46436</c:v>
                </c:pt>
                <c:pt idx="141">
                  <c:v>46437</c:v>
                </c:pt>
                <c:pt idx="142">
                  <c:v>46438</c:v>
                </c:pt>
                <c:pt idx="143">
                  <c:v>46439</c:v>
                </c:pt>
                <c:pt idx="144">
                  <c:v>46440</c:v>
                </c:pt>
                <c:pt idx="145">
                  <c:v>46441</c:v>
                </c:pt>
                <c:pt idx="146">
                  <c:v>46442</c:v>
                </c:pt>
                <c:pt idx="147">
                  <c:v>46443</c:v>
                </c:pt>
                <c:pt idx="148">
                  <c:v>46444</c:v>
                </c:pt>
                <c:pt idx="149">
                  <c:v>46445</c:v>
                </c:pt>
                <c:pt idx="150">
                  <c:v>46446</c:v>
                </c:pt>
                <c:pt idx="151">
                  <c:v>46447</c:v>
                </c:pt>
                <c:pt idx="152">
                  <c:v>46448</c:v>
                </c:pt>
                <c:pt idx="153">
                  <c:v>46449</c:v>
                </c:pt>
                <c:pt idx="154">
                  <c:v>46450</c:v>
                </c:pt>
                <c:pt idx="155">
                  <c:v>46451</c:v>
                </c:pt>
                <c:pt idx="156">
                  <c:v>46452</c:v>
                </c:pt>
                <c:pt idx="157">
                  <c:v>46453</c:v>
                </c:pt>
                <c:pt idx="158">
                  <c:v>46454</c:v>
                </c:pt>
                <c:pt idx="159">
                  <c:v>46455</c:v>
                </c:pt>
                <c:pt idx="160">
                  <c:v>46456</c:v>
                </c:pt>
                <c:pt idx="161">
                  <c:v>46457</c:v>
                </c:pt>
                <c:pt idx="162">
                  <c:v>46458</c:v>
                </c:pt>
                <c:pt idx="163">
                  <c:v>46459</c:v>
                </c:pt>
                <c:pt idx="164">
                  <c:v>46460</c:v>
                </c:pt>
                <c:pt idx="165">
                  <c:v>46461</c:v>
                </c:pt>
                <c:pt idx="166">
                  <c:v>46462</c:v>
                </c:pt>
                <c:pt idx="167">
                  <c:v>46463</c:v>
                </c:pt>
                <c:pt idx="168">
                  <c:v>46464</c:v>
                </c:pt>
                <c:pt idx="169">
                  <c:v>46465</c:v>
                </c:pt>
                <c:pt idx="170">
                  <c:v>46466</c:v>
                </c:pt>
                <c:pt idx="171">
                  <c:v>46467</c:v>
                </c:pt>
                <c:pt idx="172">
                  <c:v>46468</c:v>
                </c:pt>
                <c:pt idx="173">
                  <c:v>46469</c:v>
                </c:pt>
                <c:pt idx="174">
                  <c:v>46470</c:v>
                </c:pt>
                <c:pt idx="175">
                  <c:v>46471</c:v>
                </c:pt>
                <c:pt idx="176">
                  <c:v>46472</c:v>
                </c:pt>
                <c:pt idx="177">
                  <c:v>46473</c:v>
                </c:pt>
                <c:pt idx="178">
                  <c:v>46474</c:v>
                </c:pt>
                <c:pt idx="179">
                  <c:v>46475</c:v>
                </c:pt>
                <c:pt idx="180">
                  <c:v>46476</c:v>
                </c:pt>
                <c:pt idx="181">
                  <c:v>46477</c:v>
                </c:pt>
                <c:pt idx="182">
                  <c:v>46478</c:v>
                </c:pt>
                <c:pt idx="183">
                  <c:v>46479</c:v>
                </c:pt>
                <c:pt idx="184">
                  <c:v>46480</c:v>
                </c:pt>
                <c:pt idx="185">
                  <c:v>46481</c:v>
                </c:pt>
                <c:pt idx="186">
                  <c:v>46482</c:v>
                </c:pt>
                <c:pt idx="187">
                  <c:v>46483</c:v>
                </c:pt>
                <c:pt idx="188">
                  <c:v>46484</c:v>
                </c:pt>
                <c:pt idx="189">
                  <c:v>46485</c:v>
                </c:pt>
                <c:pt idx="190">
                  <c:v>46486</c:v>
                </c:pt>
                <c:pt idx="191">
                  <c:v>46487</c:v>
                </c:pt>
                <c:pt idx="192">
                  <c:v>46488</c:v>
                </c:pt>
                <c:pt idx="193">
                  <c:v>46489</c:v>
                </c:pt>
                <c:pt idx="194">
                  <c:v>46490</c:v>
                </c:pt>
                <c:pt idx="195">
                  <c:v>46491</c:v>
                </c:pt>
                <c:pt idx="196">
                  <c:v>46492</c:v>
                </c:pt>
                <c:pt idx="197">
                  <c:v>46493</c:v>
                </c:pt>
                <c:pt idx="198">
                  <c:v>46494</c:v>
                </c:pt>
                <c:pt idx="199">
                  <c:v>46495</c:v>
                </c:pt>
                <c:pt idx="200">
                  <c:v>46496</c:v>
                </c:pt>
                <c:pt idx="201">
                  <c:v>46497</c:v>
                </c:pt>
                <c:pt idx="202">
                  <c:v>46498</c:v>
                </c:pt>
                <c:pt idx="203">
                  <c:v>46499</c:v>
                </c:pt>
                <c:pt idx="204">
                  <c:v>46500</c:v>
                </c:pt>
                <c:pt idx="205">
                  <c:v>46501</c:v>
                </c:pt>
                <c:pt idx="206">
                  <c:v>46502</c:v>
                </c:pt>
                <c:pt idx="207">
                  <c:v>46503</c:v>
                </c:pt>
                <c:pt idx="208">
                  <c:v>46504</c:v>
                </c:pt>
                <c:pt idx="209">
                  <c:v>46505</c:v>
                </c:pt>
                <c:pt idx="210">
                  <c:v>46506</c:v>
                </c:pt>
                <c:pt idx="211">
                  <c:v>46507</c:v>
                </c:pt>
              </c:numCache>
            </c:numRef>
          </c:cat>
          <c:val>
            <c:numRef>
              <c:f>'FY1 Event &amp; Demand Timeline'!$E$61:$HH$61</c:f>
              <c:numCache>
                <c:formatCode>#,##0</c:formatCode>
                <c:ptCount val="2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550</c:v>
                </c:pt>
                <c:pt idx="35">
                  <c:v>550</c:v>
                </c:pt>
                <c:pt idx="36">
                  <c:v>550</c:v>
                </c:pt>
                <c:pt idx="37">
                  <c:v>550</c:v>
                </c:pt>
                <c:pt idx="38">
                  <c:v>550</c:v>
                </c:pt>
                <c:pt idx="39">
                  <c:v>550</c:v>
                </c:pt>
                <c:pt idx="40">
                  <c:v>1100</c:v>
                </c:pt>
                <c:pt idx="41">
                  <c:v>1100</c:v>
                </c:pt>
                <c:pt idx="42">
                  <c:v>1100</c:v>
                </c:pt>
                <c:pt idx="43">
                  <c:v>1100</c:v>
                </c:pt>
                <c:pt idx="44">
                  <c:v>1150</c:v>
                </c:pt>
                <c:pt idx="45">
                  <c:v>1150</c:v>
                </c:pt>
                <c:pt idx="46">
                  <c:v>1150</c:v>
                </c:pt>
                <c:pt idx="47">
                  <c:v>1150</c:v>
                </c:pt>
                <c:pt idx="48">
                  <c:v>1150</c:v>
                </c:pt>
                <c:pt idx="49">
                  <c:v>1150</c:v>
                </c:pt>
                <c:pt idx="50">
                  <c:v>2250</c:v>
                </c:pt>
                <c:pt idx="51">
                  <c:v>2250</c:v>
                </c:pt>
                <c:pt idx="52">
                  <c:v>2250</c:v>
                </c:pt>
                <c:pt idx="53">
                  <c:v>2250</c:v>
                </c:pt>
                <c:pt idx="54">
                  <c:v>2250</c:v>
                </c:pt>
                <c:pt idx="55">
                  <c:v>2250</c:v>
                </c:pt>
                <c:pt idx="56">
                  <c:v>3010</c:v>
                </c:pt>
                <c:pt idx="57">
                  <c:v>3590</c:v>
                </c:pt>
                <c:pt idx="58">
                  <c:v>3590</c:v>
                </c:pt>
                <c:pt idx="59">
                  <c:v>3590</c:v>
                </c:pt>
                <c:pt idx="60">
                  <c:v>3590</c:v>
                </c:pt>
                <c:pt idx="61">
                  <c:v>3590</c:v>
                </c:pt>
                <c:pt idx="62">
                  <c:v>3590</c:v>
                </c:pt>
                <c:pt idx="63">
                  <c:v>3590</c:v>
                </c:pt>
                <c:pt idx="64">
                  <c:v>3590</c:v>
                </c:pt>
                <c:pt idx="65">
                  <c:v>3590</c:v>
                </c:pt>
                <c:pt idx="66">
                  <c:v>3590</c:v>
                </c:pt>
                <c:pt idx="67">
                  <c:v>3040</c:v>
                </c:pt>
                <c:pt idx="68">
                  <c:v>3040</c:v>
                </c:pt>
                <c:pt idx="69">
                  <c:v>3040</c:v>
                </c:pt>
                <c:pt idx="70">
                  <c:v>1860</c:v>
                </c:pt>
                <c:pt idx="71">
                  <c:v>1860</c:v>
                </c:pt>
                <c:pt idx="72">
                  <c:v>1860</c:v>
                </c:pt>
                <c:pt idx="73">
                  <c:v>1860</c:v>
                </c:pt>
                <c:pt idx="74">
                  <c:v>1860</c:v>
                </c:pt>
                <c:pt idx="75">
                  <c:v>1860</c:v>
                </c:pt>
                <c:pt idx="76">
                  <c:v>1860</c:v>
                </c:pt>
                <c:pt idx="77">
                  <c:v>1860</c:v>
                </c:pt>
                <c:pt idx="78">
                  <c:v>1860</c:v>
                </c:pt>
                <c:pt idx="79">
                  <c:v>1860</c:v>
                </c:pt>
                <c:pt idx="80">
                  <c:v>1860</c:v>
                </c:pt>
                <c:pt idx="81">
                  <c:v>1860</c:v>
                </c:pt>
                <c:pt idx="82">
                  <c:v>1860</c:v>
                </c:pt>
                <c:pt idx="83">
                  <c:v>1860</c:v>
                </c:pt>
                <c:pt idx="84">
                  <c:v>1860</c:v>
                </c:pt>
                <c:pt idx="85">
                  <c:v>1860</c:v>
                </c:pt>
                <c:pt idx="86">
                  <c:v>1860</c:v>
                </c:pt>
                <c:pt idx="87">
                  <c:v>1860</c:v>
                </c:pt>
                <c:pt idx="88">
                  <c:v>1860</c:v>
                </c:pt>
                <c:pt idx="89">
                  <c:v>1100</c:v>
                </c:pt>
                <c:pt idx="90">
                  <c:v>1100</c:v>
                </c:pt>
                <c:pt idx="91">
                  <c:v>1100</c:v>
                </c:pt>
                <c:pt idx="92">
                  <c:v>1100</c:v>
                </c:pt>
                <c:pt idx="93">
                  <c:v>1100</c:v>
                </c:pt>
                <c:pt idx="94">
                  <c:v>1100</c:v>
                </c:pt>
                <c:pt idx="95">
                  <c:v>1100</c:v>
                </c:pt>
                <c:pt idx="96">
                  <c:v>1100</c:v>
                </c:pt>
                <c:pt idx="97">
                  <c:v>1100</c:v>
                </c:pt>
                <c:pt idx="98">
                  <c:v>1100</c:v>
                </c:pt>
                <c:pt idx="99">
                  <c:v>1100</c:v>
                </c:pt>
                <c:pt idx="100">
                  <c:v>1100</c:v>
                </c:pt>
                <c:pt idx="101">
                  <c:v>1100</c:v>
                </c:pt>
                <c:pt idx="102">
                  <c:v>1100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192</c:v>
                </c:pt>
                <c:pt idx="119">
                  <c:v>192</c:v>
                </c:pt>
                <c:pt idx="120">
                  <c:v>192</c:v>
                </c:pt>
                <c:pt idx="121">
                  <c:v>192</c:v>
                </c:pt>
                <c:pt idx="122">
                  <c:v>192</c:v>
                </c:pt>
                <c:pt idx="123">
                  <c:v>192</c:v>
                </c:pt>
                <c:pt idx="124">
                  <c:v>192</c:v>
                </c:pt>
                <c:pt idx="125">
                  <c:v>192</c:v>
                </c:pt>
                <c:pt idx="126">
                  <c:v>192</c:v>
                </c:pt>
                <c:pt idx="127">
                  <c:v>192</c:v>
                </c:pt>
                <c:pt idx="128">
                  <c:v>192</c:v>
                </c:pt>
                <c:pt idx="129">
                  <c:v>192</c:v>
                </c:pt>
                <c:pt idx="130">
                  <c:v>192</c:v>
                </c:pt>
                <c:pt idx="131">
                  <c:v>192</c:v>
                </c:pt>
                <c:pt idx="132">
                  <c:v>192</c:v>
                </c:pt>
                <c:pt idx="133">
                  <c:v>192</c:v>
                </c:pt>
                <c:pt idx="134">
                  <c:v>192</c:v>
                </c:pt>
                <c:pt idx="135">
                  <c:v>192</c:v>
                </c:pt>
                <c:pt idx="136">
                  <c:v>192</c:v>
                </c:pt>
                <c:pt idx="137">
                  <c:v>192</c:v>
                </c:pt>
                <c:pt idx="138">
                  <c:v>192</c:v>
                </c:pt>
                <c:pt idx="139">
                  <c:v>192</c:v>
                </c:pt>
                <c:pt idx="140">
                  <c:v>192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225</c:v>
                </c:pt>
                <c:pt idx="171">
                  <c:v>225</c:v>
                </c:pt>
                <c:pt idx="172">
                  <c:v>225</c:v>
                </c:pt>
                <c:pt idx="173">
                  <c:v>225</c:v>
                </c:pt>
                <c:pt idx="174">
                  <c:v>225</c:v>
                </c:pt>
                <c:pt idx="175">
                  <c:v>225</c:v>
                </c:pt>
                <c:pt idx="176">
                  <c:v>225</c:v>
                </c:pt>
                <c:pt idx="177">
                  <c:v>225</c:v>
                </c:pt>
                <c:pt idx="178">
                  <c:v>225</c:v>
                </c:pt>
                <c:pt idx="179">
                  <c:v>225</c:v>
                </c:pt>
                <c:pt idx="180">
                  <c:v>225</c:v>
                </c:pt>
                <c:pt idx="181">
                  <c:v>225</c:v>
                </c:pt>
                <c:pt idx="182">
                  <c:v>225</c:v>
                </c:pt>
                <c:pt idx="183">
                  <c:v>225</c:v>
                </c:pt>
                <c:pt idx="184">
                  <c:v>225</c:v>
                </c:pt>
                <c:pt idx="185">
                  <c:v>225</c:v>
                </c:pt>
                <c:pt idx="186">
                  <c:v>225</c:v>
                </c:pt>
                <c:pt idx="187">
                  <c:v>225</c:v>
                </c:pt>
                <c:pt idx="188">
                  <c:v>225</c:v>
                </c:pt>
                <c:pt idx="189">
                  <c:v>225</c:v>
                </c:pt>
                <c:pt idx="190">
                  <c:v>225</c:v>
                </c:pt>
                <c:pt idx="191">
                  <c:v>225</c:v>
                </c:pt>
                <c:pt idx="192">
                  <c:v>225</c:v>
                </c:pt>
                <c:pt idx="193">
                  <c:v>225</c:v>
                </c:pt>
                <c:pt idx="194">
                  <c:v>225</c:v>
                </c:pt>
                <c:pt idx="195">
                  <c:v>225</c:v>
                </c:pt>
                <c:pt idx="196">
                  <c:v>725</c:v>
                </c:pt>
                <c:pt idx="197">
                  <c:v>725</c:v>
                </c:pt>
                <c:pt idx="198">
                  <c:v>725</c:v>
                </c:pt>
                <c:pt idx="199">
                  <c:v>725</c:v>
                </c:pt>
                <c:pt idx="200">
                  <c:v>725</c:v>
                </c:pt>
                <c:pt idx="201">
                  <c:v>500</c:v>
                </c:pt>
                <c:pt idx="202">
                  <c:v>500</c:v>
                </c:pt>
                <c:pt idx="203">
                  <c:v>500</c:v>
                </c:pt>
                <c:pt idx="204">
                  <c:v>500</c:v>
                </c:pt>
                <c:pt idx="205">
                  <c:v>500</c:v>
                </c:pt>
                <c:pt idx="206">
                  <c:v>500</c:v>
                </c:pt>
                <c:pt idx="207">
                  <c:v>500</c:v>
                </c:pt>
                <c:pt idx="208">
                  <c:v>500</c:v>
                </c:pt>
                <c:pt idx="209">
                  <c:v>500</c:v>
                </c:pt>
                <c:pt idx="210">
                  <c:v>500</c:v>
                </c:pt>
                <c:pt idx="2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E0-934A-9105-F7E091EAA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01567"/>
        <c:axId val="230431743"/>
      </c:lineChart>
      <c:dateAx>
        <c:axId val="191501567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230431743"/>
        <c:crosses val="autoZero"/>
        <c:auto val="1"/>
        <c:lblOffset val="100"/>
        <c:baseTimeUnit val="days"/>
      </c:dateAx>
      <c:valAx>
        <c:axId val="23043174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19150156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Flooring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cat>
            <c:numRef>
              <c:f>'FY1 Event &amp; Demand Timeline'!$E$5:$HH$5</c:f>
              <c:numCache>
                <c:formatCode>d\-mmm</c:formatCode>
                <c:ptCount val="212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46326</c:v>
                </c:pt>
                <c:pt idx="31">
                  <c:v>46327</c:v>
                </c:pt>
                <c:pt idx="32">
                  <c:v>46328</c:v>
                </c:pt>
                <c:pt idx="33">
                  <c:v>46329</c:v>
                </c:pt>
                <c:pt idx="34">
                  <c:v>46330</c:v>
                </c:pt>
                <c:pt idx="35">
                  <c:v>46331</c:v>
                </c:pt>
                <c:pt idx="36">
                  <c:v>46332</c:v>
                </c:pt>
                <c:pt idx="37">
                  <c:v>46333</c:v>
                </c:pt>
                <c:pt idx="38">
                  <c:v>46334</c:v>
                </c:pt>
                <c:pt idx="39">
                  <c:v>46335</c:v>
                </c:pt>
                <c:pt idx="40">
                  <c:v>46336</c:v>
                </c:pt>
                <c:pt idx="41">
                  <c:v>46337</c:v>
                </c:pt>
                <c:pt idx="42">
                  <c:v>46338</c:v>
                </c:pt>
                <c:pt idx="43">
                  <c:v>46339</c:v>
                </c:pt>
                <c:pt idx="44">
                  <c:v>46340</c:v>
                </c:pt>
                <c:pt idx="45">
                  <c:v>46341</c:v>
                </c:pt>
                <c:pt idx="46">
                  <c:v>46342</c:v>
                </c:pt>
                <c:pt idx="47">
                  <c:v>46343</c:v>
                </c:pt>
                <c:pt idx="48">
                  <c:v>46344</c:v>
                </c:pt>
                <c:pt idx="49">
                  <c:v>46345</c:v>
                </c:pt>
                <c:pt idx="50">
                  <c:v>46346</c:v>
                </c:pt>
                <c:pt idx="51">
                  <c:v>46347</c:v>
                </c:pt>
                <c:pt idx="52">
                  <c:v>46348</c:v>
                </c:pt>
                <c:pt idx="53">
                  <c:v>46349</c:v>
                </c:pt>
                <c:pt idx="54">
                  <c:v>46350</c:v>
                </c:pt>
                <c:pt idx="55">
                  <c:v>46351</c:v>
                </c:pt>
                <c:pt idx="56">
                  <c:v>46352</c:v>
                </c:pt>
                <c:pt idx="57">
                  <c:v>46353</c:v>
                </c:pt>
                <c:pt idx="58">
                  <c:v>46354</c:v>
                </c:pt>
                <c:pt idx="59">
                  <c:v>46355</c:v>
                </c:pt>
                <c:pt idx="60">
                  <c:v>46356</c:v>
                </c:pt>
                <c:pt idx="61">
                  <c:v>46357</c:v>
                </c:pt>
                <c:pt idx="62">
                  <c:v>46358</c:v>
                </c:pt>
                <c:pt idx="63">
                  <c:v>46359</c:v>
                </c:pt>
                <c:pt idx="64">
                  <c:v>46360</c:v>
                </c:pt>
                <c:pt idx="65">
                  <c:v>46361</c:v>
                </c:pt>
                <c:pt idx="66">
                  <c:v>46362</c:v>
                </c:pt>
                <c:pt idx="67">
                  <c:v>46363</c:v>
                </c:pt>
                <c:pt idx="68">
                  <c:v>46364</c:v>
                </c:pt>
                <c:pt idx="69">
                  <c:v>46365</c:v>
                </c:pt>
                <c:pt idx="70">
                  <c:v>46366</c:v>
                </c:pt>
                <c:pt idx="71">
                  <c:v>46367</c:v>
                </c:pt>
                <c:pt idx="72">
                  <c:v>46368</c:v>
                </c:pt>
                <c:pt idx="73">
                  <c:v>46369</c:v>
                </c:pt>
                <c:pt idx="74">
                  <c:v>46370</c:v>
                </c:pt>
                <c:pt idx="75">
                  <c:v>46371</c:v>
                </c:pt>
                <c:pt idx="76">
                  <c:v>46372</c:v>
                </c:pt>
                <c:pt idx="77">
                  <c:v>46373</c:v>
                </c:pt>
                <c:pt idx="78">
                  <c:v>46374</c:v>
                </c:pt>
                <c:pt idx="79">
                  <c:v>46375</c:v>
                </c:pt>
                <c:pt idx="80">
                  <c:v>46376</c:v>
                </c:pt>
                <c:pt idx="81">
                  <c:v>46377</c:v>
                </c:pt>
                <c:pt idx="82">
                  <c:v>46378</c:v>
                </c:pt>
                <c:pt idx="83">
                  <c:v>46379</c:v>
                </c:pt>
                <c:pt idx="84">
                  <c:v>46380</c:v>
                </c:pt>
                <c:pt idx="85">
                  <c:v>46381</c:v>
                </c:pt>
                <c:pt idx="86">
                  <c:v>46382</c:v>
                </c:pt>
                <c:pt idx="87">
                  <c:v>46383</c:v>
                </c:pt>
                <c:pt idx="88">
                  <c:v>46384</c:v>
                </c:pt>
                <c:pt idx="89">
                  <c:v>46385</c:v>
                </c:pt>
                <c:pt idx="90">
                  <c:v>46386</c:v>
                </c:pt>
                <c:pt idx="91">
                  <c:v>46387</c:v>
                </c:pt>
                <c:pt idx="92">
                  <c:v>46388</c:v>
                </c:pt>
                <c:pt idx="93">
                  <c:v>46389</c:v>
                </c:pt>
                <c:pt idx="94">
                  <c:v>46390</c:v>
                </c:pt>
                <c:pt idx="95">
                  <c:v>46391</c:v>
                </c:pt>
                <c:pt idx="96">
                  <c:v>46392</c:v>
                </c:pt>
                <c:pt idx="97">
                  <c:v>46393</c:v>
                </c:pt>
                <c:pt idx="98">
                  <c:v>46394</c:v>
                </c:pt>
                <c:pt idx="99">
                  <c:v>46395</c:v>
                </c:pt>
                <c:pt idx="100">
                  <c:v>46396</c:v>
                </c:pt>
                <c:pt idx="101">
                  <c:v>46397</c:v>
                </c:pt>
                <c:pt idx="102">
                  <c:v>46398</c:v>
                </c:pt>
                <c:pt idx="103">
                  <c:v>46399</c:v>
                </c:pt>
                <c:pt idx="104">
                  <c:v>46400</c:v>
                </c:pt>
                <c:pt idx="105">
                  <c:v>46401</c:v>
                </c:pt>
                <c:pt idx="106">
                  <c:v>46402</c:v>
                </c:pt>
                <c:pt idx="107">
                  <c:v>46403</c:v>
                </c:pt>
                <c:pt idx="108">
                  <c:v>46404</c:v>
                </c:pt>
                <c:pt idx="109">
                  <c:v>46405</c:v>
                </c:pt>
                <c:pt idx="110">
                  <c:v>46406</c:v>
                </c:pt>
                <c:pt idx="111">
                  <c:v>46407</c:v>
                </c:pt>
                <c:pt idx="112">
                  <c:v>46408</c:v>
                </c:pt>
                <c:pt idx="113">
                  <c:v>46409</c:v>
                </c:pt>
                <c:pt idx="114">
                  <c:v>46410</c:v>
                </c:pt>
                <c:pt idx="115">
                  <c:v>46411</c:v>
                </c:pt>
                <c:pt idx="116">
                  <c:v>46412</c:v>
                </c:pt>
                <c:pt idx="117">
                  <c:v>46413</c:v>
                </c:pt>
                <c:pt idx="118">
                  <c:v>46414</c:v>
                </c:pt>
                <c:pt idx="119">
                  <c:v>46415</c:v>
                </c:pt>
                <c:pt idx="120">
                  <c:v>46416</c:v>
                </c:pt>
                <c:pt idx="121">
                  <c:v>46417</c:v>
                </c:pt>
                <c:pt idx="122">
                  <c:v>46418</c:v>
                </c:pt>
                <c:pt idx="123">
                  <c:v>46419</c:v>
                </c:pt>
                <c:pt idx="124">
                  <c:v>46420</c:v>
                </c:pt>
                <c:pt idx="125">
                  <c:v>46421</c:v>
                </c:pt>
                <c:pt idx="126">
                  <c:v>46422</c:v>
                </c:pt>
                <c:pt idx="127">
                  <c:v>46423</c:v>
                </c:pt>
                <c:pt idx="128">
                  <c:v>46424</c:v>
                </c:pt>
                <c:pt idx="129">
                  <c:v>46425</c:v>
                </c:pt>
                <c:pt idx="130">
                  <c:v>46426</c:v>
                </c:pt>
                <c:pt idx="131">
                  <c:v>46427</c:v>
                </c:pt>
                <c:pt idx="132">
                  <c:v>46428</c:v>
                </c:pt>
                <c:pt idx="133">
                  <c:v>46429</c:v>
                </c:pt>
                <c:pt idx="134">
                  <c:v>46430</c:v>
                </c:pt>
                <c:pt idx="135">
                  <c:v>46431</c:v>
                </c:pt>
                <c:pt idx="136">
                  <c:v>46432</c:v>
                </c:pt>
                <c:pt idx="137">
                  <c:v>46433</c:v>
                </c:pt>
                <c:pt idx="138">
                  <c:v>46434</c:v>
                </c:pt>
                <c:pt idx="139">
                  <c:v>46435</c:v>
                </c:pt>
                <c:pt idx="140">
                  <c:v>46436</c:v>
                </c:pt>
                <c:pt idx="141">
                  <c:v>46437</c:v>
                </c:pt>
                <c:pt idx="142">
                  <c:v>46438</c:v>
                </c:pt>
                <c:pt idx="143">
                  <c:v>46439</c:v>
                </c:pt>
                <c:pt idx="144">
                  <c:v>46440</c:v>
                </c:pt>
                <c:pt idx="145">
                  <c:v>46441</c:v>
                </c:pt>
                <c:pt idx="146">
                  <c:v>46442</c:v>
                </c:pt>
                <c:pt idx="147">
                  <c:v>46443</c:v>
                </c:pt>
                <c:pt idx="148">
                  <c:v>46444</c:v>
                </c:pt>
                <c:pt idx="149">
                  <c:v>46445</c:v>
                </c:pt>
                <c:pt idx="150">
                  <c:v>46446</c:v>
                </c:pt>
                <c:pt idx="151">
                  <c:v>46447</c:v>
                </c:pt>
                <c:pt idx="152">
                  <c:v>46448</c:v>
                </c:pt>
                <c:pt idx="153">
                  <c:v>46449</c:v>
                </c:pt>
                <c:pt idx="154">
                  <c:v>46450</c:v>
                </c:pt>
                <c:pt idx="155">
                  <c:v>46451</c:v>
                </c:pt>
                <c:pt idx="156">
                  <c:v>46452</c:v>
                </c:pt>
                <c:pt idx="157">
                  <c:v>46453</c:v>
                </c:pt>
                <c:pt idx="158">
                  <c:v>46454</c:v>
                </c:pt>
                <c:pt idx="159">
                  <c:v>46455</c:v>
                </c:pt>
                <c:pt idx="160">
                  <c:v>46456</c:v>
                </c:pt>
                <c:pt idx="161">
                  <c:v>46457</c:v>
                </c:pt>
                <c:pt idx="162">
                  <c:v>46458</c:v>
                </c:pt>
                <c:pt idx="163">
                  <c:v>46459</c:v>
                </c:pt>
                <c:pt idx="164">
                  <c:v>46460</c:v>
                </c:pt>
                <c:pt idx="165">
                  <c:v>46461</c:v>
                </c:pt>
                <c:pt idx="166">
                  <c:v>46462</c:v>
                </c:pt>
                <c:pt idx="167">
                  <c:v>46463</c:v>
                </c:pt>
                <c:pt idx="168">
                  <c:v>46464</c:v>
                </c:pt>
                <c:pt idx="169">
                  <c:v>46465</c:v>
                </c:pt>
                <c:pt idx="170">
                  <c:v>46466</c:v>
                </c:pt>
                <c:pt idx="171">
                  <c:v>46467</c:v>
                </c:pt>
                <c:pt idx="172">
                  <c:v>46468</c:v>
                </c:pt>
                <c:pt idx="173">
                  <c:v>46469</c:v>
                </c:pt>
                <c:pt idx="174">
                  <c:v>46470</c:v>
                </c:pt>
                <c:pt idx="175">
                  <c:v>46471</c:v>
                </c:pt>
                <c:pt idx="176">
                  <c:v>46472</c:v>
                </c:pt>
                <c:pt idx="177">
                  <c:v>46473</c:v>
                </c:pt>
                <c:pt idx="178">
                  <c:v>46474</c:v>
                </c:pt>
                <c:pt idx="179">
                  <c:v>46475</c:v>
                </c:pt>
                <c:pt idx="180">
                  <c:v>46476</c:v>
                </c:pt>
                <c:pt idx="181">
                  <c:v>46477</c:v>
                </c:pt>
                <c:pt idx="182">
                  <c:v>46478</c:v>
                </c:pt>
                <c:pt idx="183">
                  <c:v>46479</c:v>
                </c:pt>
                <c:pt idx="184">
                  <c:v>46480</c:v>
                </c:pt>
                <c:pt idx="185">
                  <c:v>46481</c:v>
                </c:pt>
                <c:pt idx="186">
                  <c:v>46482</c:v>
                </c:pt>
                <c:pt idx="187">
                  <c:v>46483</c:v>
                </c:pt>
                <c:pt idx="188">
                  <c:v>46484</c:v>
                </c:pt>
                <c:pt idx="189">
                  <c:v>46485</c:v>
                </c:pt>
                <c:pt idx="190">
                  <c:v>46486</c:v>
                </c:pt>
                <c:pt idx="191">
                  <c:v>46487</c:v>
                </c:pt>
                <c:pt idx="192">
                  <c:v>46488</c:v>
                </c:pt>
                <c:pt idx="193">
                  <c:v>46489</c:v>
                </c:pt>
                <c:pt idx="194">
                  <c:v>46490</c:v>
                </c:pt>
                <c:pt idx="195">
                  <c:v>46491</c:v>
                </c:pt>
                <c:pt idx="196">
                  <c:v>46492</c:v>
                </c:pt>
                <c:pt idx="197">
                  <c:v>46493</c:v>
                </c:pt>
                <c:pt idx="198">
                  <c:v>46494</c:v>
                </c:pt>
                <c:pt idx="199">
                  <c:v>46495</c:v>
                </c:pt>
                <c:pt idx="200">
                  <c:v>46496</c:v>
                </c:pt>
                <c:pt idx="201">
                  <c:v>46497</c:v>
                </c:pt>
                <c:pt idx="202">
                  <c:v>46498</c:v>
                </c:pt>
                <c:pt idx="203">
                  <c:v>46499</c:v>
                </c:pt>
                <c:pt idx="204">
                  <c:v>46500</c:v>
                </c:pt>
                <c:pt idx="205">
                  <c:v>46501</c:v>
                </c:pt>
                <c:pt idx="206">
                  <c:v>46502</c:v>
                </c:pt>
                <c:pt idx="207">
                  <c:v>46503</c:v>
                </c:pt>
                <c:pt idx="208">
                  <c:v>46504</c:v>
                </c:pt>
                <c:pt idx="209">
                  <c:v>46505</c:v>
                </c:pt>
                <c:pt idx="210">
                  <c:v>46506</c:v>
                </c:pt>
                <c:pt idx="211">
                  <c:v>46507</c:v>
                </c:pt>
              </c:numCache>
            </c:numRef>
          </c:cat>
          <c:val>
            <c:numRef>
              <c:f>'FY1 Event &amp; Demand Timeline'!$E$75:$HH$75</c:f>
              <c:numCache>
                <c:formatCode>#,##0</c:formatCode>
                <c:ptCount val="212"/>
                <c:pt idx="0">
                  <c:v>0</c:v>
                </c:pt>
                <c:pt idx="1">
                  <c:v>280</c:v>
                </c:pt>
                <c:pt idx="2">
                  <c:v>280</c:v>
                </c:pt>
                <c:pt idx="3">
                  <c:v>280</c:v>
                </c:pt>
                <c:pt idx="4">
                  <c:v>280</c:v>
                </c:pt>
                <c:pt idx="5">
                  <c:v>280</c:v>
                </c:pt>
                <c:pt idx="6">
                  <c:v>280</c:v>
                </c:pt>
                <c:pt idx="7">
                  <c:v>280</c:v>
                </c:pt>
                <c:pt idx="8">
                  <c:v>280</c:v>
                </c:pt>
                <c:pt idx="9">
                  <c:v>280</c:v>
                </c:pt>
                <c:pt idx="10">
                  <c:v>280</c:v>
                </c:pt>
                <c:pt idx="11">
                  <c:v>280</c:v>
                </c:pt>
                <c:pt idx="12">
                  <c:v>280</c:v>
                </c:pt>
                <c:pt idx="13">
                  <c:v>280</c:v>
                </c:pt>
                <c:pt idx="14">
                  <c:v>280</c:v>
                </c:pt>
                <c:pt idx="15">
                  <c:v>280</c:v>
                </c:pt>
                <c:pt idx="16">
                  <c:v>280</c:v>
                </c:pt>
                <c:pt idx="17">
                  <c:v>280</c:v>
                </c:pt>
                <c:pt idx="18">
                  <c:v>280</c:v>
                </c:pt>
                <c:pt idx="19">
                  <c:v>280</c:v>
                </c:pt>
                <c:pt idx="20">
                  <c:v>280</c:v>
                </c:pt>
                <c:pt idx="21">
                  <c:v>280</c:v>
                </c:pt>
                <c:pt idx="22">
                  <c:v>280</c:v>
                </c:pt>
                <c:pt idx="23">
                  <c:v>280</c:v>
                </c:pt>
                <c:pt idx="24">
                  <c:v>280</c:v>
                </c:pt>
                <c:pt idx="25">
                  <c:v>280</c:v>
                </c:pt>
                <c:pt idx="26">
                  <c:v>280</c:v>
                </c:pt>
                <c:pt idx="27">
                  <c:v>280</c:v>
                </c:pt>
                <c:pt idx="28">
                  <c:v>280</c:v>
                </c:pt>
                <c:pt idx="29">
                  <c:v>280</c:v>
                </c:pt>
                <c:pt idx="30">
                  <c:v>280</c:v>
                </c:pt>
                <c:pt idx="31">
                  <c:v>280</c:v>
                </c:pt>
                <c:pt idx="32">
                  <c:v>280</c:v>
                </c:pt>
                <c:pt idx="33">
                  <c:v>280</c:v>
                </c:pt>
                <c:pt idx="34">
                  <c:v>280</c:v>
                </c:pt>
                <c:pt idx="35">
                  <c:v>280</c:v>
                </c:pt>
                <c:pt idx="36">
                  <c:v>480</c:v>
                </c:pt>
                <c:pt idx="37">
                  <c:v>480</c:v>
                </c:pt>
                <c:pt idx="38">
                  <c:v>480</c:v>
                </c:pt>
                <c:pt idx="39">
                  <c:v>480</c:v>
                </c:pt>
                <c:pt idx="40">
                  <c:v>480</c:v>
                </c:pt>
                <c:pt idx="41">
                  <c:v>480</c:v>
                </c:pt>
                <c:pt idx="42">
                  <c:v>480</c:v>
                </c:pt>
                <c:pt idx="43">
                  <c:v>480</c:v>
                </c:pt>
                <c:pt idx="44">
                  <c:v>680</c:v>
                </c:pt>
                <c:pt idx="45">
                  <c:v>680</c:v>
                </c:pt>
                <c:pt idx="46">
                  <c:v>680</c:v>
                </c:pt>
                <c:pt idx="47">
                  <c:v>680</c:v>
                </c:pt>
                <c:pt idx="48">
                  <c:v>680</c:v>
                </c:pt>
                <c:pt idx="49">
                  <c:v>680</c:v>
                </c:pt>
                <c:pt idx="50">
                  <c:v>880</c:v>
                </c:pt>
                <c:pt idx="51">
                  <c:v>880</c:v>
                </c:pt>
                <c:pt idx="52">
                  <c:v>880</c:v>
                </c:pt>
                <c:pt idx="53">
                  <c:v>880</c:v>
                </c:pt>
                <c:pt idx="54">
                  <c:v>880</c:v>
                </c:pt>
                <c:pt idx="55">
                  <c:v>880</c:v>
                </c:pt>
                <c:pt idx="56">
                  <c:v>940</c:v>
                </c:pt>
                <c:pt idx="57">
                  <c:v>918</c:v>
                </c:pt>
                <c:pt idx="58">
                  <c:v>718</c:v>
                </c:pt>
                <c:pt idx="59">
                  <c:v>718</c:v>
                </c:pt>
                <c:pt idx="60">
                  <c:v>718</c:v>
                </c:pt>
                <c:pt idx="61">
                  <c:v>718</c:v>
                </c:pt>
                <c:pt idx="62">
                  <c:v>718</c:v>
                </c:pt>
                <c:pt idx="63">
                  <c:v>718</c:v>
                </c:pt>
                <c:pt idx="64">
                  <c:v>718</c:v>
                </c:pt>
                <c:pt idx="65">
                  <c:v>718</c:v>
                </c:pt>
                <c:pt idx="66">
                  <c:v>718</c:v>
                </c:pt>
                <c:pt idx="67">
                  <c:v>718</c:v>
                </c:pt>
                <c:pt idx="68">
                  <c:v>718</c:v>
                </c:pt>
                <c:pt idx="69">
                  <c:v>718</c:v>
                </c:pt>
                <c:pt idx="70">
                  <c:v>540</c:v>
                </c:pt>
                <c:pt idx="71">
                  <c:v>540</c:v>
                </c:pt>
                <c:pt idx="72">
                  <c:v>540</c:v>
                </c:pt>
                <c:pt idx="73">
                  <c:v>540</c:v>
                </c:pt>
                <c:pt idx="74">
                  <c:v>540</c:v>
                </c:pt>
                <c:pt idx="75">
                  <c:v>540</c:v>
                </c:pt>
                <c:pt idx="76">
                  <c:v>540</c:v>
                </c:pt>
                <c:pt idx="77">
                  <c:v>540</c:v>
                </c:pt>
                <c:pt idx="78">
                  <c:v>540</c:v>
                </c:pt>
                <c:pt idx="79">
                  <c:v>540</c:v>
                </c:pt>
                <c:pt idx="80">
                  <c:v>540</c:v>
                </c:pt>
                <c:pt idx="81">
                  <c:v>540</c:v>
                </c:pt>
                <c:pt idx="82">
                  <c:v>540</c:v>
                </c:pt>
                <c:pt idx="83">
                  <c:v>540</c:v>
                </c:pt>
                <c:pt idx="84">
                  <c:v>540</c:v>
                </c:pt>
                <c:pt idx="85">
                  <c:v>540</c:v>
                </c:pt>
                <c:pt idx="86">
                  <c:v>540</c:v>
                </c:pt>
                <c:pt idx="87">
                  <c:v>540</c:v>
                </c:pt>
                <c:pt idx="88">
                  <c:v>540</c:v>
                </c:pt>
                <c:pt idx="89">
                  <c:v>480</c:v>
                </c:pt>
                <c:pt idx="90">
                  <c:v>480</c:v>
                </c:pt>
                <c:pt idx="91">
                  <c:v>480</c:v>
                </c:pt>
                <c:pt idx="92">
                  <c:v>480</c:v>
                </c:pt>
                <c:pt idx="93">
                  <c:v>480</c:v>
                </c:pt>
                <c:pt idx="94">
                  <c:v>480</c:v>
                </c:pt>
                <c:pt idx="95">
                  <c:v>480</c:v>
                </c:pt>
                <c:pt idx="96">
                  <c:v>480</c:v>
                </c:pt>
                <c:pt idx="97">
                  <c:v>480</c:v>
                </c:pt>
                <c:pt idx="98">
                  <c:v>480</c:v>
                </c:pt>
                <c:pt idx="99">
                  <c:v>480</c:v>
                </c:pt>
                <c:pt idx="100">
                  <c:v>480</c:v>
                </c:pt>
                <c:pt idx="101">
                  <c:v>480</c:v>
                </c:pt>
                <c:pt idx="102">
                  <c:v>480</c:v>
                </c:pt>
                <c:pt idx="103">
                  <c:v>280</c:v>
                </c:pt>
                <c:pt idx="104">
                  <c:v>280</c:v>
                </c:pt>
                <c:pt idx="105">
                  <c:v>280</c:v>
                </c:pt>
                <c:pt idx="106">
                  <c:v>280</c:v>
                </c:pt>
                <c:pt idx="107">
                  <c:v>280</c:v>
                </c:pt>
                <c:pt idx="108">
                  <c:v>280</c:v>
                </c:pt>
                <c:pt idx="109">
                  <c:v>280</c:v>
                </c:pt>
                <c:pt idx="110">
                  <c:v>280</c:v>
                </c:pt>
                <c:pt idx="111">
                  <c:v>280</c:v>
                </c:pt>
                <c:pt idx="112">
                  <c:v>280</c:v>
                </c:pt>
                <c:pt idx="113">
                  <c:v>280</c:v>
                </c:pt>
                <c:pt idx="114">
                  <c:v>280</c:v>
                </c:pt>
                <c:pt idx="115">
                  <c:v>280</c:v>
                </c:pt>
                <c:pt idx="116">
                  <c:v>280</c:v>
                </c:pt>
                <c:pt idx="117">
                  <c:v>280</c:v>
                </c:pt>
                <c:pt idx="118">
                  <c:v>280</c:v>
                </c:pt>
                <c:pt idx="119">
                  <c:v>280</c:v>
                </c:pt>
                <c:pt idx="120">
                  <c:v>280</c:v>
                </c:pt>
                <c:pt idx="121">
                  <c:v>280</c:v>
                </c:pt>
                <c:pt idx="122">
                  <c:v>280</c:v>
                </c:pt>
                <c:pt idx="123">
                  <c:v>280</c:v>
                </c:pt>
                <c:pt idx="124">
                  <c:v>280</c:v>
                </c:pt>
                <c:pt idx="125">
                  <c:v>280</c:v>
                </c:pt>
                <c:pt idx="126">
                  <c:v>280</c:v>
                </c:pt>
                <c:pt idx="127">
                  <c:v>280</c:v>
                </c:pt>
                <c:pt idx="128">
                  <c:v>280</c:v>
                </c:pt>
                <c:pt idx="129">
                  <c:v>280</c:v>
                </c:pt>
                <c:pt idx="130">
                  <c:v>280</c:v>
                </c:pt>
                <c:pt idx="131">
                  <c:v>280</c:v>
                </c:pt>
                <c:pt idx="132">
                  <c:v>280</c:v>
                </c:pt>
                <c:pt idx="133">
                  <c:v>280</c:v>
                </c:pt>
                <c:pt idx="134">
                  <c:v>280</c:v>
                </c:pt>
                <c:pt idx="135">
                  <c:v>280</c:v>
                </c:pt>
                <c:pt idx="136">
                  <c:v>280</c:v>
                </c:pt>
                <c:pt idx="137">
                  <c:v>280</c:v>
                </c:pt>
                <c:pt idx="138">
                  <c:v>280</c:v>
                </c:pt>
                <c:pt idx="139">
                  <c:v>280</c:v>
                </c:pt>
                <c:pt idx="140">
                  <c:v>280</c:v>
                </c:pt>
                <c:pt idx="141">
                  <c:v>280</c:v>
                </c:pt>
                <c:pt idx="142">
                  <c:v>280</c:v>
                </c:pt>
                <c:pt idx="143">
                  <c:v>280</c:v>
                </c:pt>
                <c:pt idx="144">
                  <c:v>280</c:v>
                </c:pt>
                <c:pt idx="145">
                  <c:v>280</c:v>
                </c:pt>
                <c:pt idx="146">
                  <c:v>280</c:v>
                </c:pt>
                <c:pt idx="147">
                  <c:v>280</c:v>
                </c:pt>
                <c:pt idx="148">
                  <c:v>280</c:v>
                </c:pt>
                <c:pt idx="149">
                  <c:v>280</c:v>
                </c:pt>
                <c:pt idx="150">
                  <c:v>280</c:v>
                </c:pt>
                <c:pt idx="151">
                  <c:v>280</c:v>
                </c:pt>
                <c:pt idx="152">
                  <c:v>280</c:v>
                </c:pt>
                <c:pt idx="153">
                  <c:v>280</c:v>
                </c:pt>
                <c:pt idx="154">
                  <c:v>280</c:v>
                </c:pt>
                <c:pt idx="155">
                  <c:v>280</c:v>
                </c:pt>
                <c:pt idx="156">
                  <c:v>280</c:v>
                </c:pt>
                <c:pt idx="157">
                  <c:v>280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60</c:v>
                </c:pt>
                <c:pt idx="177">
                  <c:v>60</c:v>
                </c:pt>
                <c:pt idx="178">
                  <c:v>60</c:v>
                </c:pt>
                <c:pt idx="179">
                  <c:v>60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60</c:v>
                </c:pt>
                <c:pt idx="185">
                  <c:v>60</c:v>
                </c:pt>
                <c:pt idx="186">
                  <c:v>60</c:v>
                </c:pt>
                <c:pt idx="187">
                  <c:v>60</c:v>
                </c:pt>
                <c:pt idx="188">
                  <c:v>60</c:v>
                </c:pt>
                <c:pt idx="189">
                  <c:v>60</c:v>
                </c:pt>
                <c:pt idx="190">
                  <c:v>60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60</c:v>
                </c:pt>
                <c:pt idx="195">
                  <c:v>60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  <c:pt idx="200">
                  <c:v>60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1A-7B40-B400-7B2A200D0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01567"/>
        <c:axId val="230431743"/>
      </c:lineChart>
      <c:dateAx>
        <c:axId val="191501567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230431743"/>
        <c:crosses val="autoZero"/>
        <c:auto val="1"/>
        <c:lblOffset val="100"/>
        <c:baseTimeUnit val="days"/>
      </c:dateAx>
      <c:valAx>
        <c:axId val="23043174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AE"/>
          </a:p>
        </c:txPr>
        <c:crossAx val="19150156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Cabins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Projection'!$C$4:$J$4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'Revenue Projection'!$C$15:$J$15</c:f>
              <c:numCache>
                <c:formatCode>#,##0;\(#,##0\);\-</c:formatCode>
                <c:ptCount val="8"/>
                <c:pt idx="0">
                  <c:v>972300</c:v>
                </c:pt>
                <c:pt idx="1">
                  <c:v>1029350</c:v>
                </c:pt>
                <c:pt idx="2">
                  <c:v>1086750</c:v>
                </c:pt>
                <c:pt idx="3">
                  <c:v>1143450</c:v>
                </c:pt>
                <c:pt idx="4">
                  <c:v>1257200</c:v>
                </c:pt>
                <c:pt idx="5">
                  <c:v>1370250</c:v>
                </c:pt>
                <c:pt idx="6">
                  <c:v>1484350</c:v>
                </c:pt>
                <c:pt idx="7">
                  <c:v>1598450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F-FA47-9C70-BE5A79FA79D7}"/>
            </c:ext>
          </c:extLst>
        </c:ser>
        <c:ser>
          <c:idx val="1"/>
          <c:order val="1"/>
          <c:tx>
            <c:v>Buggies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Projection'!$C$4:$J$4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'Revenue Projection'!$C$21:$J$21</c:f>
              <c:numCache>
                <c:formatCode>#,##0;\(#,##0\);\-</c:formatCode>
                <c:ptCount val="8"/>
                <c:pt idx="0">
                  <c:v>1099000</c:v>
                </c:pt>
                <c:pt idx="1">
                  <c:v>1162000</c:v>
                </c:pt>
                <c:pt idx="2">
                  <c:v>1212400</c:v>
                </c:pt>
                <c:pt idx="3">
                  <c:v>1275400</c:v>
                </c:pt>
                <c:pt idx="4">
                  <c:v>1372000</c:v>
                </c:pt>
                <c:pt idx="5">
                  <c:v>1481200</c:v>
                </c:pt>
                <c:pt idx="6">
                  <c:v>1586200</c:v>
                </c:pt>
                <c:pt idx="7">
                  <c:v>1691200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F-FA47-9C70-BE5A79FA79D7}"/>
            </c:ext>
          </c:extLst>
        </c:ser>
        <c:ser>
          <c:idx val="2"/>
          <c:order val="2"/>
          <c:tx>
            <c:v>Barriers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Projection'!$C$4:$J$4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'Revenue Projection'!$C$27:$J$27</c:f>
              <c:numCache>
                <c:formatCode>#,##0;\(#,##0\);\-</c:formatCode>
                <c:ptCount val="8"/>
                <c:pt idx="0">
                  <c:v>49824</c:v>
                </c:pt>
                <c:pt idx="1">
                  <c:v>52824</c:v>
                </c:pt>
                <c:pt idx="2">
                  <c:v>56112</c:v>
                </c:pt>
                <c:pt idx="3">
                  <c:v>58824</c:v>
                </c:pt>
                <c:pt idx="4">
                  <c:v>65112</c:v>
                </c:pt>
                <c:pt idx="5">
                  <c:v>70968</c:v>
                </c:pt>
                <c:pt idx="6">
                  <c:v>76968</c:v>
                </c:pt>
                <c:pt idx="7">
                  <c:v>83112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EF-FA47-9C70-BE5A79FA79D7}"/>
            </c:ext>
          </c:extLst>
        </c:ser>
        <c:ser>
          <c:idx val="3"/>
          <c:order val="3"/>
          <c:tx>
            <c:v>Fencing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Projection'!$C$4:$J$4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'Revenue Projection'!$C$33:$J$33</c:f>
              <c:numCache>
                <c:formatCode>#,##0;\(#,##0\);\-</c:formatCode>
                <c:ptCount val="8"/>
                <c:pt idx="0">
                  <c:v>199100</c:v>
                </c:pt>
                <c:pt idx="1">
                  <c:v>209000</c:v>
                </c:pt>
                <c:pt idx="2">
                  <c:v>219560</c:v>
                </c:pt>
                <c:pt idx="3">
                  <c:v>230560</c:v>
                </c:pt>
                <c:pt idx="4">
                  <c:v>253000</c:v>
                </c:pt>
                <c:pt idx="5">
                  <c:v>274560</c:v>
                </c:pt>
                <c:pt idx="6">
                  <c:v>296560</c:v>
                </c:pt>
                <c:pt idx="7">
                  <c:v>318560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EF-FA47-9C70-BE5A79FA79D7}"/>
            </c:ext>
          </c:extLst>
        </c:ser>
        <c:ser>
          <c:idx val="4"/>
          <c:order val="4"/>
          <c:tx>
            <c:v>Flooring</c:v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Projection'!$C$4:$J$4</c:f>
              <c:strCache>
                <c:ptCount val="8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</c:strCache>
            </c:strRef>
          </c:cat>
          <c:val>
            <c:numRef>
              <c:f>'Revenue Projection'!$C$39:$J$39</c:f>
              <c:numCache>
                <c:formatCode>#,##0;\(#,##0\);\-</c:formatCode>
                <c:ptCount val="8"/>
                <c:pt idx="0">
                  <c:v>1096200</c:v>
                </c:pt>
                <c:pt idx="1">
                  <c:v>1186200</c:v>
                </c:pt>
                <c:pt idx="2">
                  <c:v>1276200</c:v>
                </c:pt>
                <c:pt idx="3">
                  <c:v>1512000</c:v>
                </c:pt>
                <c:pt idx="4">
                  <c:v>1456200</c:v>
                </c:pt>
                <c:pt idx="5">
                  <c:v>1636200</c:v>
                </c:pt>
                <c:pt idx="6">
                  <c:v>1710000</c:v>
                </c:pt>
                <c:pt idx="7">
                  <c:v>1800000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EF-FA47-9C70-BE5A79FA79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68511423"/>
        <c:axId val="1268506943"/>
      </c:barChart>
      <c:catAx>
        <c:axId val="12685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268506943"/>
        <c:crosses val="autoZero"/>
        <c:auto val="1"/>
        <c:lblAlgn val="ctr"/>
        <c:lblOffset val="100"/>
        <c:noMultiLvlLbl val="0"/>
      </c:catAx>
      <c:valAx>
        <c:axId val="1268506943"/>
        <c:scaling>
          <c:orientation val="minMax"/>
        </c:scaling>
        <c:delete val="1"/>
        <c:axPos val="l"/>
        <c:numFmt formatCode="#,##0;\(#,##0\);\-" sourceLinked="1"/>
        <c:majorTickMark val="none"/>
        <c:minorTickMark val="none"/>
        <c:tickLblPos val="nextTo"/>
        <c:crossAx val="1268511423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59267</xdr:rowOff>
    </xdr:from>
    <xdr:to>
      <xdr:col>1</xdr:col>
      <xdr:colOff>1015081</xdr:colOff>
      <xdr:row>31</xdr:row>
      <xdr:rowOff>66529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1239335</xdr:colOff>
      <xdr:row>19</xdr:row>
      <xdr:rowOff>59267</xdr:rowOff>
    </xdr:from>
    <xdr:to>
      <xdr:col>5</xdr:col>
      <xdr:colOff>51608</xdr:colOff>
      <xdr:row>31</xdr:row>
      <xdr:rowOff>69287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275862</xdr:colOff>
      <xdr:row>19</xdr:row>
      <xdr:rowOff>59267</xdr:rowOff>
    </xdr:from>
    <xdr:to>
      <xdr:col>8</xdr:col>
      <xdr:colOff>576936</xdr:colOff>
      <xdr:row>31</xdr:row>
      <xdr:rowOff>69287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16358</xdr:colOff>
      <xdr:row>19</xdr:row>
      <xdr:rowOff>59267</xdr:rowOff>
    </xdr:from>
    <xdr:to>
      <xdr:col>13</xdr:col>
      <xdr:colOff>254542</xdr:colOff>
      <xdr:row>31</xdr:row>
      <xdr:rowOff>69286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478795</xdr:colOff>
      <xdr:row>19</xdr:row>
      <xdr:rowOff>59267</xdr:rowOff>
    </xdr:from>
    <xdr:to>
      <xdr:col>17</xdr:col>
      <xdr:colOff>946349</xdr:colOff>
      <xdr:row>31</xdr:row>
      <xdr:rowOff>69286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452967</xdr:colOff>
      <xdr:row>4</xdr:row>
      <xdr:rowOff>110067</xdr:rowOff>
    </xdr:from>
    <xdr:to>
      <xdr:col>19</xdr:col>
      <xdr:colOff>605367</xdr:colOff>
      <xdr:row>20</xdr:row>
      <xdr:rowOff>198967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E52"/>
  <sheetViews>
    <sheetView showGridLines="0" tabSelected="1" zoomScaleNormal="100" workbookViewId="0">
      <pane ySplit="2" topLeftCell="A3" activePane="bottomLeft" state="frozen"/>
      <selection activeCell="A24" sqref="A24"/>
      <selection pane="bottomLeft"/>
    </sheetView>
  </sheetViews>
  <sheetFormatPr baseColWidth="10" defaultColWidth="8.6640625" defaultRowHeight="15" x14ac:dyDescent="0.2"/>
  <cols>
    <col min="1" max="1" width="42" customWidth="1"/>
    <col min="2" max="2" width="20" customWidth="1"/>
    <col min="3" max="3" width="52.6640625" customWidth="1"/>
  </cols>
  <sheetData>
    <row r="1" spans="1:5" ht="24" customHeight="1" x14ac:dyDescent="0.2">
      <c r="A1" s="35" t="s">
        <v>12</v>
      </c>
      <c r="B1" s="35"/>
      <c r="C1" s="35"/>
    </row>
    <row r="2" spans="1:5" ht="15" customHeight="1" x14ac:dyDescent="0.2">
      <c r="A2" s="3" t="s">
        <v>13</v>
      </c>
    </row>
    <row r="3" spans="1:5" ht="15" customHeight="1" x14ac:dyDescent="0.2">
      <c r="A3" s="1" t="s">
        <v>14</v>
      </c>
      <c r="B3" s="1"/>
      <c r="C3" s="1"/>
    </row>
    <row r="4" spans="1:5" ht="15" customHeight="1" x14ac:dyDescent="0.2">
      <c r="A4" s="12" t="s">
        <v>15</v>
      </c>
      <c r="B4" s="19">
        <v>2026</v>
      </c>
      <c r="C4" s="3" t="s">
        <v>16</v>
      </c>
    </row>
    <row r="5" spans="1:5" ht="15" customHeight="1" x14ac:dyDescent="0.2">
      <c r="A5" s="12" t="s">
        <v>17</v>
      </c>
      <c r="B5" s="95">
        <v>46296</v>
      </c>
      <c r="C5" s="3"/>
    </row>
    <row r="6" spans="1:5" ht="15" customHeight="1" x14ac:dyDescent="0.2">
      <c r="A6" s="12" t="s">
        <v>18</v>
      </c>
      <c r="B6" s="19" t="s">
        <v>19</v>
      </c>
      <c r="C6" s="3"/>
    </row>
    <row r="8" spans="1:5" x14ac:dyDescent="0.2">
      <c r="A8" s="1" t="s">
        <v>20</v>
      </c>
      <c r="B8" s="1"/>
      <c r="C8" s="1"/>
    </row>
    <row r="9" spans="1:5" x14ac:dyDescent="0.2">
      <c r="A9" s="12" t="s">
        <v>21</v>
      </c>
      <c r="B9" s="88">
        <f>COUNTA('FY1 Event Pipeline'!A4:A15)</f>
        <v>12</v>
      </c>
      <c r="C9" s="3" t="s">
        <v>22</v>
      </c>
    </row>
    <row r="10" spans="1:5" x14ac:dyDescent="0.2">
      <c r="A10" s="12" t="s">
        <v>23</v>
      </c>
      <c r="B10" s="119">
        <v>0.85</v>
      </c>
      <c r="C10" s="3" t="s">
        <v>24</v>
      </c>
    </row>
    <row r="11" spans="1:5" x14ac:dyDescent="0.2">
      <c r="A11" s="12" t="s">
        <v>25</v>
      </c>
      <c r="B11" s="119">
        <v>0.5</v>
      </c>
      <c r="C11" s="3"/>
    </row>
    <row r="12" spans="1:5" x14ac:dyDescent="0.2">
      <c r="A12" s="12" t="s">
        <v>26</v>
      </c>
      <c r="B12" s="119">
        <v>0.85</v>
      </c>
      <c r="C12" s="3"/>
    </row>
    <row r="13" spans="1:5" x14ac:dyDescent="0.2">
      <c r="A13" s="12" t="s">
        <v>27</v>
      </c>
      <c r="B13" s="119">
        <v>0.85</v>
      </c>
      <c r="C13" s="3"/>
    </row>
    <row r="14" spans="1:5" x14ac:dyDescent="0.2">
      <c r="A14" s="12" t="s">
        <v>28</v>
      </c>
      <c r="B14" s="119">
        <v>0.85</v>
      </c>
      <c r="C14" s="3"/>
    </row>
    <row r="15" spans="1:5" ht="52" customHeight="1" x14ac:dyDescent="0.2">
      <c r="A15" s="12" t="s">
        <v>29</v>
      </c>
      <c r="B15" s="20">
        <v>0.1</v>
      </c>
      <c r="C15" s="90" t="s">
        <v>30</v>
      </c>
      <c r="E15" s="38"/>
    </row>
    <row r="16" spans="1:5" x14ac:dyDescent="0.2">
      <c r="A16" s="12"/>
      <c r="B16" s="89"/>
      <c r="C16" s="3"/>
    </row>
    <row r="17" spans="1:5" ht="15" customHeight="1" x14ac:dyDescent="0.2">
      <c r="A17" s="1" t="s">
        <v>31</v>
      </c>
      <c r="B17" s="1"/>
      <c r="C17" s="1"/>
    </row>
    <row r="18" spans="1:5" ht="15" customHeight="1" x14ac:dyDescent="0.2">
      <c r="A18" s="12" t="s">
        <v>32</v>
      </c>
      <c r="B18" s="4">
        <v>350</v>
      </c>
      <c r="C18" s="3" t="s">
        <v>33</v>
      </c>
      <c r="E18" s="37"/>
    </row>
    <row r="19" spans="1:5" ht="15" customHeight="1" x14ac:dyDescent="0.2">
      <c r="A19" s="12" t="s">
        <v>34</v>
      </c>
      <c r="B19" s="4">
        <v>700</v>
      </c>
      <c r="C19" s="3" t="s">
        <v>35</v>
      </c>
      <c r="D19" s="61"/>
      <c r="E19" s="37"/>
    </row>
    <row r="20" spans="1:5" ht="15" customHeight="1" x14ac:dyDescent="0.2">
      <c r="A20" s="12" t="s">
        <v>36</v>
      </c>
      <c r="B20" s="92">
        <f>12/30</f>
        <v>0.4</v>
      </c>
      <c r="C20" s="3" t="s">
        <v>37</v>
      </c>
      <c r="E20" s="37"/>
    </row>
    <row r="21" spans="1:5" ht="15" customHeight="1" x14ac:dyDescent="0.2">
      <c r="A21" s="12" t="s">
        <v>38</v>
      </c>
      <c r="B21" s="92">
        <f>55/30</f>
        <v>1.8333333333333333</v>
      </c>
      <c r="C21" s="3" t="s">
        <v>39</v>
      </c>
      <c r="E21" s="37"/>
    </row>
    <row r="22" spans="1:5" ht="15" customHeight="1" x14ac:dyDescent="0.2">
      <c r="A22" s="12" t="s">
        <v>40</v>
      </c>
      <c r="B22" s="4">
        <f>900/30</f>
        <v>30</v>
      </c>
      <c r="C22" s="3" t="s">
        <v>41</v>
      </c>
      <c r="E22" s="37"/>
    </row>
    <row r="23" spans="1:5" ht="15" customHeight="1" x14ac:dyDescent="0.2">
      <c r="A23" s="12"/>
      <c r="B23" s="4"/>
      <c r="C23" s="40" t="s">
        <v>42</v>
      </c>
      <c r="E23" s="37"/>
    </row>
    <row r="25" spans="1:5" ht="15" customHeight="1" x14ac:dyDescent="0.2">
      <c r="A25" s="1" t="s">
        <v>43</v>
      </c>
      <c r="B25" s="1"/>
      <c r="C25" s="1"/>
    </row>
    <row r="26" spans="1:5" ht="15" customHeight="1" x14ac:dyDescent="0.2">
      <c r="A26" s="12" t="s">
        <v>44</v>
      </c>
      <c r="B26" s="19">
        <v>8</v>
      </c>
      <c r="C26" s="3" t="s">
        <v>45</v>
      </c>
    </row>
    <row r="27" spans="1:5" ht="15" customHeight="1" x14ac:dyDescent="0.2">
      <c r="A27" s="12" t="s">
        <v>46</v>
      </c>
      <c r="B27" s="20">
        <v>0.2</v>
      </c>
      <c r="C27" s="3" t="s">
        <v>47</v>
      </c>
    </row>
    <row r="28" spans="1:5" ht="15" customHeight="1" x14ac:dyDescent="0.2">
      <c r="A28" s="12" t="s">
        <v>48</v>
      </c>
      <c r="B28" s="20">
        <v>2.5000000000000001E-2</v>
      </c>
      <c r="C28" s="3" t="s">
        <v>49</v>
      </c>
    </row>
    <row r="29" spans="1:5" ht="15" customHeight="1" x14ac:dyDescent="0.2">
      <c r="A29" s="12" t="s">
        <v>50</v>
      </c>
      <c r="B29" s="108">
        <v>40000</v>
      </c>
      <c r="C29" s="3" t="s">
        <v>51</v>
      </c>
    </row>
    <row r="30" spans="1:5" ht="15" customHeight="1" x14ac:dyDescent="0.2">
      <c r="A30" s="12" t="s">
        <v>52</v>
      </c>
      <c r="B30" s="19">
        <v>10</v>
      </c>
      <c r="C30" s="3" t="s">
        <v>53</v>
      </c>
    </row>
    <row r="31" spans="1:5" ht="15" customHeight="1" x14ac:dyDescent="0.2">
      <c r="A31" s="12" t="s">
        <v>54</v>
      </c>
      <c r="B31" s="20">
        <v>0.3</v>
      </c>
      <c r="C31" s="3" t="s">
        <v>55</v>
      </c>
    </row>
    <row r="32" spans="1:5" ht="15" customHeight="1" x14ac:dyDescent="0.2">
      <c r="A32" s="12" t="s">
        <v>56</v>
      </c>
      <c r="B32" s="20">
        <v>2.5000000000000001E-2</v>
      </c>
      <c r="C32" s="3" t="s">
        <v>49</v>
      </c>
    </row>
    <row r="33" spans="1:3" ht="15" customHeight="1" x14ac:dyDescent="0.2">
      <c r="A33" s="12" t="s">
        <v>57</v>
      </c>
      <c r="B33" s="108">
        <v>300</v>
      </c>
      <c r="C33" s="3" t="s">
        <v>51</v>
      </c>
    </row>
    <row r="34" spans="1:3" ht="15" customHeight="1" x14ac:dyDescent="0.2">
      <c r="A34" s="12" t="s">
        <v>58</v>
      </c>
      <c r="B34" s="108">
        <v>400</v>
      </c>
      <c r="C34" s="3" t="s">
        <v>51</v>
      </c>
    </row>
    <row r="35" spans="1:3" ht="15" customHeight="1" x14ac:dyDescent="0.2">
      <c r="A35" s="12" t="s">
        <v>59</v>
      </c>
      <c r="B35" s="19">
        <v>10</v>
      </c>
      <c r="C35" s="3" t="s">
        <v>53</v>
      </c>
    </row>
    <row r="36" spans="1:3" ht="15" customHeight="1" x14ac:dyDescent="0.2">
      <c r="A36" s="12" t="s">
        <v>60</v>
      </c>
      <c r="B36" s="20">
        <v>0.4</v>
      </c>
      <c r="C36" s="3" t="s">
        <v>61</v>
      </c>
    </row>
    <row r="37" spans="1:3" ht="15" customHeight="1" x14ac:dyDescent="0.2">
      <c r="A37" s="12" t="s">
        <v>62</v>
      </c>
      <c r="B37" s="20">
        <v>5.0000000000000001E-3</v>
      </c>
      <c r="C37" s="3" t="s">
        <v>63</v>
      </c>
    </row>
    <row r="38" spans="1:3" ht="15" customHeight="1" x14ac:dyDescent="0.2">
      <c r="A38" s="12" t="s">
        <v>64</v>
      </c>
      <c r="B38" s="108">
        <v>500</v>
      </c>
      <c r="C38" s="3" t="s">
        <v>51</v>
      </c>
    </row>
    <row r="39" spans="1:3" ht="15" customHeight="1" x14ac:dyDescent="0.2">
      <c r="A39" s="12" t="s">
        <v>65</v>
      </c>
      <c r="B39" s="19">
        <v>10</v>
      </c>
      <c r="C39" s="3" t="s">
        <v>53</v>
      </c>
    </row>
    <row r="40" spans="1:3" ht="15" customHeight="1" x14ac:dyDescent="0.2">
      <c r="A40" s="12" t="s">
        <v>66</v>
      </c>
      <c r="B40" s="20">
        <v>0.1</v>
      </c>
      <c r="C40" s="3" t="s">
        <v>67</v>
      </c>
    </row>
    <row r="41" spans="1:3" ht="15" customHeight="1" x14ac:dyDescent="0.2">
      <c r="A41" s="12" t="s">
        <v>68</v>
      </c>
      <c r="B41" s="20">
        <v>5.0000000000000001E-3</v>
      </c>
      <c r="C41" s="3" t="s">
        <v>63</v>
      </c>
    </row>
    <row r="42" spans="1:3" ht="15" customHeight="1" x14ac:dyDescent="0.2">
      <c r="A42" s="12" t="s">
        <v>69</v>
      </c>
      <c r="B42" s="20">
        <v>0.02</v>
      </c>
      <c r="C42" s="3" t="s">
        <v>70</v>
      </c>
    </row>
    <row r="44" spans="1:3" ht="15" customHeight="1" x14ac:dyDescent="0.2">
      <c r="A44" s="1" t="s">
        <v>71</v>
      </c>
      <c r="B44" s="1"/>
      <c r="C44" s="1"/>
    </row>
    <row r="45" spans="1:3" ht="15" customHeight="1" x14ac:dyDescent="0.2">
      <c r="A45" s="12" t="s">
        <v>72</v>
      </c>
      <c r="B45" s="4">
        <v>20</v>
      </c>
      <c r="C45" s="3" t="s">
        <v>73</v>
      </c>
    </row>
    <row r="46" spans="1:3" ht="15" customHeight="1" x14ac:dyDescent="0.2">
      <c r="A46" s="12" t="s">
        <v>74</v>
      </c>
      <c r="B46" s="4"/>
      <c r="C46" s="3"/>
    </row>
    <row r="47" spans="1:3" ht="15" customHeight="1" x14ac:dyDescent="0.2">
      <c r="A47" s="12" t="s">
        <v>75</v>
      </c>
      <c r="B47" s="4">
        <v>2000</v>
      </c>
      <c r="C47" s="3" t="s">
        <v>76</v>
      </c>
    </row>
    <row r="48" spans="1:3" ht="15" customHeight="1" x14ac:dyDescent="0.2">
      <c r="A48" s="12" t="s">
        <v>77</v>
      </c>
      <c r="B48" s="4">
        <v>10000</v>
      </c>
      <c r="C48" s="3"/>
    </row>
    <row r="49" spans="1:3" ht="15" customHeight="1" x14ac:dyDescent="0.2">
      <c r="A49" s="12" t="s">
        <v>78</v>
      </c>
      <c r="B49" s="4">
        <v>1500</v>
      </c>
      <c r="C49" s="3" t="s">
        <v>79</v>
      </c>
    </row>
    <row r="50" spans="1:3" ht="15" customHeight="1" x14ac:dyDescent="0.2">
      <c r="A50" s="12" t="s">
        <v>80</v>
      </c>
      <c r="B50" s="13">
        <v>22000</v>
      </c>
      <c r="C50" s="3" t="s">
        <v>81</v>
      </c>
    </row>
    <row r="51" spans="1:3" ht="15" customHeight="1" x14ac:dyDescent="0.2">
      <c r="A51" s="12" t="s">
        <v>82</v>
      </c>
      <c r="B51" s="4">
        <v>50000</v>
      </c>
      <c r="C51" s="3" t="s">
        <v>83</v>
      </c>
    </row>
    <row r="52" spans="1:3" ht="15" customHeight="1" x14ac:dyDescent="0.2">
      <c r="A52" s="12" t="s">
        <v>84</v>
      </c>
      <c r="B52" s="20">
        <v>0.05</v>
      </c>
      <c r="C52" s="3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S19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25" customWidth="1"/>
    <col min="3" max="3" width="7.5" bestFit="1" customWidth="1"/>
    <col min="4" max="8" width="13" customWidth="1"/>
    <col min="9" max="9" width="10.33203125" bestFit="1" customWidth="1"/>
    <col min="10" max="12" width="10.33203125" customWidth="1"/>
    <col min="14" max="14" width="10.83203125" bestFit="1" customWidth="1"/>
    <col min="18" max="18" width="12.6640625" bestFit="1" customWidth="1"/>
    <col min="19" max="19" width="30.1640625" customWidth="1"/>
  </cols>
  <sheetData>
    <row r="1" spans="1:19" ht="24" customHeight="1" x14ac:dyDescent="0.2">
      <c r="A1" s="35" t="s">
        <v>86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x14ac:dyDescent="0.2">
      <c r="A2" s="3" t="s">
        <v>87</v>
      </c>
    </row>
    <row r="3" spans="1:19" ht="26" customHeight="1" x14ac:dyDescent="0.2">
      <c r="A3" s="47" t="s">
        <v>88</v>
      </c>
      <c r="B3" s="47" t="s">
        <v>89</v>
      </c>
      <c r="C3" s="48" t="s">
        <v>90</v>
      </c>
      <c r="D3" s="48" t="s">
        <v>91</v>
      </c>
      <c r="E3" s="48" t="s">
        <v>92</v>
      </c>
      <c r="F3" s="48" t="s">
        <v>93</v>
      </c>
      <c r="G3" s="49" t="s">
        <v>94</v>
      </c>
      <c r="H3" s="49" t="s">
        <v>95</v>
      </c>
      <c r="I3" s="49" t="s">
        <v>96</v>
      </c>
      <c r="J3" s="49" t="s">
        <v>97</v>
      </c>
      <c r="K3" s="49" t="s">
        <v>98</v>
      </c>
      <c r="L3" s="49" t="s">
        <v>99</v>
      </c>
      <c r="M3" s="49" t="s">
        <v>100</v>
      </c>
      <c r="N3" s="48" t="s">
        <v>7</v>
      </c>
      <c r="O3" s="49" t="s">
        <v>8</v>
      </c>
      <c r="P3" s="49" t="s">
        <v>9</v>
      </c>
      <c r="Q3" s="49" t="s">
        <v>10</v>
      </c>
      <c r="R3" s="49" t="s">
        <v>101</v>
      </c>
      <c r="S3" s="102" t="s">
        <v>102</v>
      </c>
    </row>
    <row r="4" spans="1:19" x14ac:dyDescent="0.2">
      <c r="A4" s="50" t="s">
        <v>103</v>
      </c>
      <c r="B4" s="2" t="s">
        <v>104</v>
      </c>
      <c r="C4" s="132">
        <v>0.5</v>
      </c>
      <c r="D4" s="66">
        <v>46327</v>
      </c>
      <c r="E4" s="66">
        <v>46446</v>
      </c>
      <c r="F4" s="65">
        <f t="shared" ref="F4:F15" si="0">E4-D4+1</f>
        <v>120</v>
      </c>
      <c r="G4" s="63">
        <v>30</v>
      </c>
      <c r="H4" s="51">
        <f t="shared" ref="H4:H15" si="1">D4-G4</f>
        <v>46297</v>
      </c>
      <c r="I4" s="63">
        <v>7</v>
      </c>
      <c r="J4" s="51">
        <f t="shared" ref="J4:J15" si="2">E4+I4</f>
        <v>46453</v>
      </c>
      <c r="K4" s="65">
        <f t="shared" ref="K4:K15" si="3">J4-H4+1</f>
        <v>157</v>
      </c>
      <c r="L4" s="65">
        <f t="shared" ref="L4:L15" si="4">_xlfn.CEILING.MATH(K4/30,1)</f>
        <v>6</v>
      </c>
      <c r="M4" s="65">
        <f t="shared" ref="M4:M15" si="5">_xlfn.CEILING.MATH(K4/7,1)</f>
        <v>23</v>
      </c>
      <c r="N4" s="63">
        <v>10</v>
      </c>
      <c r="O4" s="64">
        <v>10</v>
      </c>
      <c r="P4" s="64">
        <v>0</v>
      </c>
      <c r="Q4" s="64">
        <v>0</v>
      </c>
      <c r="R4" s="64">
        <v>280</v>
      </c>
      <c r="S4" s="103" t="str">
        <f t="shared" ref="S4:S15" si="6">_xlfn.CONCAT("('",,A4,"',",C4,",",H4-$B$17,",",J4-$B$17,",",N4,",",O4,",",P4,",",Q4,",",R4,"),")</f>
        <v>('Saadiyat Nights',0.5,1,157,10,10,0,0,280),</v>
      </c>
    </row>
    <row r="5" spans="1:19" x14ac:dyDescent="0.2">
      <c r="A5" s="50" t="s">
        <v>105</v>
      </c>
      <c r="B5" s="2" t="s">
        <v>106</v>
      </c>
      <c r="C5" s="132">
        <v>0.5</v>
      </c>
      <c r="D5" s="66">
        <v>46332</v>
      </c>
      <c r="E5" s="66">
        <v>46336</v>
      </c>
      <c r="F5" s="65">
        <f t="shared" si="0"/>
        <v>5</v>
      </c>
      <c r="G5" s="63">
        <v>14</v>
      </c>
      <c r="H5" s="51">
        <f t="shared" si="1"/>
        <v>46318</v>
      </c>
      <c r="I5" s="63">
        <v>3</v>
      </c>
      <c r="J5" s="51">
        <f t="shared" si="2"/>
        <v>46339</v>
      </c>
      <c r="K5" s="65">
        <f t="shared" si="3"/>
        <v>22</v>
      </c>
      <c r="L5" s="65">
        <f t="shared" si="4"/>
        <v>1</v>
      </c>
      <c r="M5" s="65">
        <f t="shared" si="5"/>
        <v>4</v>
      </c>
      <c r="N5" s="63">
        <v>8</v>
      </c>
      <c r="O5" s="64">
        <v>0</v>
      </c>
      <c r="P5" s="64">
        <v>0</v>
      </c>
      <c r="Q5" s="64">
        <v>0</v>
      </c>
      <c r="R5" s="64">
        <v>0</v>
      </c>
      <c r="S5" s="103" t="str">
        <f t="shared" si="6"/>
        <v>('BRED X',0.5,22,43,8,0,0,0,0),</v>
      </c>
    </row>
    <row r="6" spans="1:19" x14ac:dyDescent="0.2">
      <c r="A6" s="50" t="s">
        <v>107</v>
      </c>
      <c r="B6" s="2" t="s">
        <v>108</v>
      </c>
      <c r="C6" s="132">
        <v>0.5</v>
      </c>
      <c r="D6" s="66">
        <v>46344</v>
      </c>
      <c r="E6" s="66">
        <v>46349</v>
      </c>
      <c r="F6" s="65">
        <f t="shared" si="0"/>
        <v>6</v>
      </c>
      <c r="G6" s="63">
        <v>14</v>
      </c>
      <c r="H6" s="51">
        <f t="shared" si="1"/>
        <v>46330</v>
      </c>
      <c r="I6" s="63">
        <v>3</v>
      </c>
      <c r="J6" s="51">
        <f t="shared" si="2"/>
        <v>46352</v>
      </c>
      <c r="K6" s="65">
        <f t="shared" si="3"/>
        <v>23</v>
      </c>
      <c r="L6" s="65">
        <f t="shared" si="4"/>
        <v>1</v>
      </c>
      <c r="M6" s="65">
        <f t="shared" si="5"/>
        <v>4</v>
      </c>
      <c r="N6" s="63">
        <v>8</v>
      </c>
      <c r="O6" s="64">
        <v>6</v>
      </c>
      <c r="P6" s="64">
        <v>350</v>
      </c>
      <c r="Q6" s="64">
        <v>550</v>
      </c>
      <c r="R6" s="64">
        <v>0</v>
      </c>
      <c r="S6" s="103" t="str">
        <f t="shared" si="6"/>
        <v>('MOTN DHA',0.5,34,56,8,6,350,550,0),</v>
      </c>
    </row>
    <row r="7" spans="1:19" x14ac:dyDescent="0.2">
      <c r="A7" s="50" t="s">
        <v>109</v>
      </c>
      <c r="B7" s="2" t="s">
        <v>110</v>
      </c>
      <c r="C7" s="132">
        <v>0.5</v>
      </c>
      <c r="D7" s="66">
        <v>46346</v>
      </c>
      <c r="E7" s="66">
        <v>46350</v>
      </c>
      <c r="F7" s="65">
        <f t="shared" si="0"/>
        <v>5</v>
      </c>
      <c r="G7" s="63">
        <v>14</v>
      </c>
      <c r="H7" s="51">
        <f t="shared" si="1"/>
        <v>46332</v>
      </c>
      <c r="I7" s="63">
        <v>3</v>
      </c>
      <c r="J7" s="51">
        <f t="shared" si="2"/>
        <v>46353</v>
      </c>
      <c r="K7" s="65">
        <f t="shared" si="3"/>
        <v>22</v>
      </c>
      <c r="L7" s="65">
        <f t="shared" si="4"/>
        <v>1</v>
      </c>
      <c r="M7" s="65">
        <f t="shared" si="5"/>
        <v>4</v>
      </c>
      <c r="N7" s="63">
        <v>24</v>
      </c>
      <c r="O7" s="64">
        <v>6</v>
      </c>
      <c r="P7" s="64">
        <v>0</v>
      </c>
      <c r="Q7" s="64">
        <v>0</v>
      </c>
      <c r="R7" s="64">
        <v>200</v>
      </c>
      <c r="S7" s="103" t="str">
        <f t="shared" si="6"/>
        <v>('No Art UAE',0.5,36,57,24,6,0,0,200),</v>
      </c>
    </row>
    <row r="8" spans="1:19" x14ac:dyDescent="0.2">
      <c r="A8" s="50" t="s">
        <v>111</v>
      </c>
      <c r="B8" s="2" t="s">
        <v>112</v>
      </c>
      <c r="C8" s="132">
        <v>0.5</v>
      </c>
      <c r="D8" s="66">
        <v>46347</v>
      </c>
      <c r="E8" s="66">
        <v>46349</v>
      </c>
      <c r="F8" s="65">
        <f t="shared" si="0"/>
        <v>3</v>
      </c>
      <c r="G8" s="63">
        <v>7</v>
      </c>
      <c r="H8" s="51">
        <f t="shared" si="1"/>
        <v>46340</v>
      </c>
      <c r="I8" s="63">
        <v>3</v>
      </c>
      <c r="J8" s="51">
        <f t="shared" si="2"/>
        <v>46352</v>
      </c>
      <c r="K8" s="65">
        <f t="shared" si="3"/>
        <v>13</v>
      </c>
      <c r="L8" s="65">
        <f t="shared" si="4"/>
        <v>1</v>
      </c>
      <c r="M8" s="65">
        <f t="shared" si="5"/>
        <v>2</v>
      </c>
      <c r="N8" s="63">
        <v>0</v>
      </c>
      <c r="O8" s="64">
        <v>8</v>
      </c>
      <c r="P8" s="64">
        <v>900</v>
      </c>
      <c r="Q8" s="64">
        <v>50</v>
      </c>
      <c r="R8" s="64">
        <v>200</v>
      </c>
      <c r="S8" s="103" t="str">
        <f t="shared" si="6"/>
        <v>('Tanweer Festival',0.5,44,56,0,8,900,50,200),</v>
      </c>
    </row>
    <row r="9" spans="1:19" x14ac:dyDescent="0.2">
      <c r="A9" s="50" t="s">
        <v>113</v>
      </c>
      <c r="B9" s="2" t="s">
        <v>114</v>
      </c>
      <c r="C9" s="132">
        <v>0.5</v>
      </c>
      <c r="D9" s="66">
        <v>46350</v>
      </c>
      <c r="E9" s="66">
        <v>46358</v>
      </c>
      <c r="F9" s="65">
        <f t="shared" si="0"/>
        <v>9</v>
      </c>
      <c r="G9" s="63">
        <v>14</v>
      </c>
      <c r="H9" s="51">
        <f t="shared" si="1"/>
        <v>46336</v>
      </c>
      <c r="I9" s="63">
        <v>4</v>
      </c>
      <c r="J9" s="51">
        <f t="shared" si="2"/>
        <v>46362</v>
      </c>
      <c r="K9" s="65">
        <f t="shared" si="3"/>
        <v>27</v>
      </c>
      <c r="L9" s="65">
        <f t="shared" si="4"/>
        <v>1</v>
      </c>
      <c r="M9" s="65">
        <f t="shared" si="5"/>
        <v>4</v>
      </c>
      <c r="N9" s="63">
        <v>18</v>
      </c>
      <c r="O9" s="64">
        <v>6</v>
      </c>
      <c r="P9" s="64">
        <v>350</v>
      </c>
      <c r="Q9" s="64">
        <v>550</v>
      </c>
      <c r="R9" s="64">
        <v>0</v>
      </c>
      <c r="S9" s="103" t="str">
        <f t="shared" si="6"/>
        <v>('MOTN AAN',0.5,40,66,18,6,350,550,0),</v>
      </c>
    </row>
    <row r="10" spans="1:19" x14ac:dyDescent="0.2">
      <c r="A10" s="50" t="s">
        <v>115</v>
      </c>
      <c r="B10" s="2" t="s">
        <v>116</v>
      </c>
      <c r="C10" s="132">
        <v>0.5</v>
      </c>
      <c r="D10" s="66">
        <v>46360</v>
      </c>
      <c r="E10" s="66">
        <v>46362</v>
      </c>
      <c r="F10" s="65">
        <f t="shared" si="0"/>
        <v>3</v>
      </c>
      <c r="G10" s="63">
        <v>7</v>
      </c>
      <c r="H10" s="51">
        <f t="shared" si="1"/>
        <v>46353</v>
      </c>
      <c r="I10" s="63">
        <v>3</v>
      </c>
      <c r="J10" s="51">
        <f t="shared" si="2"/>
        <v>46365</v>
      </c>
      <c r="K10" s="65">
        <f t="shared" si="3"/>
        <v>13</v>
      </c>
      <c r="L10" s="65">
        <f t="shared" si="4"/>
        <v>1</v>
      </c>
      <c r="M10" s="65">
        <f t="shared" si="5"/>
        <v>2</v>
      </c>
      <c r="N10" s="63">
        <v>29</v>
      </c>
      <c r="O10" s="64">
        <v>8</v>
      </c>
      <c r="P10" s="64">
        <v>714</v>
      </c>
      <c r="Q10" s="64">
        <v>1180</v>
      </c>
      <c r="R10" s="64">
        <v>178</v>
      </c>
      <c r="S10" s="103" t="str">
        <f t="shared" si="6"/>
        <v>('F1 Afterparty',0.5,57,69,29,8,714,1180,178),</v>
      </c>
    </row>
    <row r="11" spans="1:19" x14ac:dyDescent="0.2">
      <c r="A11" s="50" t="s">
        <v>117</v>
      </c>
      <c r="B11" s="2" t="s">
        <v>118</v>
      </c>
      <c r="C11" s="132">
        <v>0.5</v>
      </c>
      <c r="D11" s="66">
        <v>46366</v>
      </c>
      <c r="E11" s="66">
        <v>46391</v>
      </c>
      <c r="F11" s="65">
        <f t="shared" si="0"/>
        <v>26</v>
      </c>
      <c r="G11" s="63">
        <v>20</v>
      </c>
      <c r="H11" s="51">
        <f t="shared" si="1"/>
        <v>46346</v>
      </c>
      <c r="I11" s="63">
        <v>7</v>
      </c>
      <c r="J11" s="51">
        <f t="shared" si="2"/>
        <v>46398</v>
      </c>
      <c r="K11" s="65">
        <f t="shared" si="3"/>
        <v>53</v>
      </c>
      <c r="L11" s="65">
        <f t="shared" si="4"/>
        <v>2</v>
      </c>
      <c r="M11" s="65">
        <f t="shared" si="5"/>
        <v>8</v>
      </c>
      <c r="N11" s="63">
        <v>20</v>
      </c>
      <c r="O11" s="64">
        <v>10</v>
      </c>
      <c r="P11" s="64">
        <v>700</v>
      </c>
      <c r="Q11" s="64">
        <v>1100</v>
      </c>
      <c r="R11" s="64">
        <v>200</v>
      </c>
      <c r="S11" s="103" t="str">
        <f t="shared" si="6"/>
        <v>('MOTN AUH',0.5,50,102,20,10,700,1100,200),</v>
      </c>
    </row>
    <row r="12" spans="1:19" x14ac:dyDescent="0.2">
      <c r="A12" s="50" t="s">
        <v>119</v>
      </c>
      <c r="B12" s="2" t="s">
        <v>120</v>
      </c>
      <c r="C12" s="132">
        <v>0.5</v>
      </c>
      <c r="D12" s="66">
        <v>46367</v>
      </c>
      <c r="E12" s="66">
        <v>46377</v>
      </c>
      <c r="F12" s="65">
        <f t="shared" si="0"/>
        <v>11</v>
      </c>
      <c r="G12" s="63">
        <v>15</v>
      </c>
      <c r="H12" s="51">
        <f t="shared" si="1"/>
        <v>46352</v>
      </c>
      <c r="I12" s="63">
        <v>7</v>
      </c>
      <c r="J12" s="51">
        <f t="shared" si="2"/>
        <v>46384</v>
      </c>
      <c r="K12" s="65">
        <f t="shared" si="3"/>
        <v>33</v>
      </c>
      <c r="L12" s="65">
        <f t="shared" si="4"/>
        <v>2</v>
      </c>
      <c r="M12" s="65">
        <f t="shared" si="5"/>
        <v>5</v>
      </c>
      <c r="N12" s="63">
        <v>6</v>
      </c>
      <c r="O12" s="64">
        <v>4</v>
      </c>
      <c r="P12" s="64">
        <v>644</v>
      </c>
      <c r="Q12" s="64">
        <v>760</v>
      </c>
      <c r="R12" s="64">
        <v>60</v>
      </c>
      <c r="S12" s="103" t="str">
        <f t="shared" si="6"/>
        <v>('Yas Winterfest',0.5,56,88,6,4,644,760,60),</v>
      </c>
    </row>
    <row r="13" spans="1:19" x14ac:dyDescent="0.2">
      <c r="A13" s="50" t="s">
        <v>121</v>
      </c>
      <c r="B13" s="2" t="s">
        <v>122</v>
      </c>
      <c r="C13" s="132">
        <v>0.5</v>
      </c>
      <c r="D13" s="66">
        <v>46429</v>
      </c>
      <c r="E13" s="66">
        <v>46433</v>
      </c>
      <c r="F13" s="65">
        <f t="shared" si="0"/>
        <v>5</v>
      </c>
      <c r="G13" s="63">
        <v>15</v>
      </c>
      <c r="H13" s="51">
        <f t="shared" si="1"/>
        <v>46414</v>
      </c>
      <c r="I13" s="63">
        <v>3</v>
      </c>
      <c r="J13" s="51">
        <f t="shared" si="2"/>
        <v>46436</v>
      </c>
      <c r="K13" s="65">
        <f t="shared" si="3"/>
        <v>23</v>
      </c>
      <c r="L13" s="65">
        <f t="shared" si="4"/>
        <v>1</v>
      </c>
      <c r="M13" s="65">
        <f t="shared" si="5"/>
        <v>4</v>
      </c>
      <c r="N13" s="63">
        <v>8</v>
      </c>
      <c r="O13" s="64">
        <v>4</v>
      </c>
      <c r="P13" s="64">
        <v>288</v>
      </c>
      <c r="Q13" s="64">
        <v>192</v>
      </c>
      <c r="R13" s="64">
        <v>0</v>
      </c>
      <c r="S13" s="103" t="str">
        <f t="shared" si="6"/>
        <v>('Animenia',0.5,118,140,8,4,288,192,0),</v>
      </c>
    </row>
    <row r="14" spans="1:19" x14ac:dyDescent="0.2">
      <c r="A14" s="50" t="s">
        <v>123</v>
      </c>
      <c r="B14" s="2" t="s">
        <v>124</v>
      </c>
      <c r="C14" s="132">
        <v>0.5</v>
      </c>
      <c r="D14" s="66">
        <v>46480</v>
      </c>
      <c r="E14" s="66">
        <v>46489</v>
      </c>
      <c r="F14" s="65">
        <f t="shared" si="0"/>
        <v>10</v>
      </c>
      <c r="G14" s="63">
        <v>14</v>
      </c>
      <c r="H14" s="51">
        <f t="shared" si="1"/>
        <v>46466</v>
      </c>
      <c r="I14" s="63">
        <v>7</v>
      </c>
      <c r="J14" s="51">
        <f t="shared" si="2"/>
        <v>46496</v>
      </c>
      <c r="K14" s="65">
        <f t="shared" si="3"/>
        <v>31</v>
      </c>
      <c r="L14" s="65">
        <f t="shared" si="4"/>
        <v>2</v>
      </c>
      <c r="M14" s="65">
        <f t="shared" si="5"/>
        <v>5</v>
      </c>
      <c r="N14" s="63">
        <v>15</v>
      </c>
      <c r="O14" s="64">
        <v>4</v>
      </c>
      <c r="P14" s="64">
        <v>775</v>
      </c>
      <c r="Q14" s="64">
        <v>225</v>
      </c>
      <c r="R14" s="64">
        <v>60</v>
      </c>
      <c r="S14" s="103" t="str">
        <f t="shared" si="6"/>
        <v>('DAZ',0.5,170,200,15,4,775,225,60),</v>
      </c>
    </row>
    <row r="15" spans="1:19" x14ac:dyDescent="0.2">
      <c r="A15" s="126" t="s">
        <v>125</v>
      </c>
      <c r="B15" s="53" t="s">
        <v>116</v>
      </c>
      <c r="C15" s="133">
        <v>0.5</v>
      </c>
      <c r="D15" s="127">
        <v>46499</v>
      </c>
      <c r="E15" s="127">
        <v>46503</v>
      </c>
      <c r="F15" s="128">
        <f t="shared" si="0"/>
        <v>5</v>
      </c>
      <c r="G15" s="129">
        <v>7</v>
      </c>
      <c r="H15" s="130">
        <f t="shared" si="1"/>
        <v>46492</v>
      </c>
      <c r="I15" s="129">
        <v>3</v>
      </c>
      <c r="J15" s="130">
        <f t="shared" si="2"/>
        <v>46506</v>
      </c>
      <c r="K15" s="128">
        <f t="shared" si="3"/>
        <v>15</v>
      </c>
      <c r="L15" s="128">
        <f t="shared" si="4"/>
        <v>1</v>
      </c>
      <c r="M15" s="128">
        <f t="shared" si="5"/>
        <v>3</v>
      </c>
      <c r="N15" s="129">
        <v>22</v>
      </c>
      <c r="O15" s="131">
        <v>6</v>
      </c>
      <c r="P15" s="131">
        <v>1500</v>
      </c>
      <c r="Q15" s="131">
        <v>500</v>
      </c>
      <c r="R15" s="131">
        <v>0</v>
      </c>
      <c r="S15" s="135" t="str">
        <f t="shared" si="6"/>
        <v>('BRED',0.5,196,210,22,6,1500,500,0),</v>
      </c>
    </row>
    <row r="16" spans="1:19" x14ac:dyDescent="0.2">
      <c r="M16" s="124" t="s">
        <v>126</v>
      </c>
      <c r="N16" s="125">
        <f>AVERAGE(N4:N15)</f>
        <v>14</v>
      </c>
      <c r="O16" s="125">
        <f>AVERAGE(O4:O15)</f>
        <v>6</v>
      </c>
      <c r="P16" s="125">
        <f>AVERAGE(P4:P15)</f>
        <v>518.41666666666663</v>
      </c>
      <c r="Q16" s="125">
        <f>AVERAGE(Q4:Q15)</f>
        <v>425.58333333333331</v>
      </c>
      <c r="R16" s="125">
        <f>AVERAGE(R4:R15)</f>
        <v>98.166666666666671</v>
      </c>
    </row>
    <row r="17" spans="1:18" x14ac:dyDescent="0.2">
      <c r="A17" s="50" t="s">
        <v>127</v>
      </c>
      <c r="B17" s="134">
        <f>Assumptions!B5</f>
        <v>46296</v>
      </c>
      <c r="M17" s="124" t="s">
        <v>128</v>
      </c>
      <c r="N17" s="125">
        <f>MEDIAN(N4:N15)</f>
        <v>12.5</v>
      </c>
      <c r="O17" s="125">
        <f>MEDIAN(O4:O15)</f>
        <v>6</v>
      </c>
      <c r="P17" s="125">
        <f>MEDIAN(P4:P15)</f>
        <v>497</v>
      </c>
      <c r="Q17" s="125">
        <f>MEDIAN(Q4:Q15)</f>
        <v>362.5</v>
      </c>
      <c r="R17" s="125">
        <f>MEDIAN(R4:R15)</f>
        <v>60</v>
      </c>
    </row>
    <row r="18" spans="1:18" x14ac:dyDescent="0.2">
      <c r="M18" s="124"/>
      <c r="N18" s="125"/>
      <c r="O18" s="125"/>
      <c r="P18" s="125"/>
      <c r="Q18" s="125"/>
      <c r="R18" s="125"/>
    </row>
    <row r="19" spans="1:18" x14ac:dyDescent="0.2">
      <c r="A19" s="1" t="s">
        <v>129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M38"/>
  <sheetViews>
    <sheetView showGridLines="0" zoomScaleNormal="100" workbookViewId="0">
      <pane ySplit="1" topLeftCell="A2" activePane="bottomLeft" state="frozen"/>
      <selection activeCell="A24" sqref="A24"/>
      <selection pane="bottomLeft"/>
    </sheetView>
  </sheetViews>
  <sheetFormatPr baseColWidth="10" defaultColWidth="8.6640625" defaultRowHeight="15" x14ac:dyDescent="0.2"/>
  <cols>
    <col min="1" max="1" width="26" customWidth="1"/>
    <col min="2" max="2" width="8.33203125" customWidth="1"/>
    <col min="3" max="3" width="6.6640625" customWidth="1"/>
    <col min="4" max="8" width="12.1640625" bestFit="1" customWidth="1"/>
    <col min="9" max="11" width="12.1640625" customWidth="1"/>
  </cols>
  <sheetData>
    <row r="1" spans="1:13" ht="27" customHeight="1" x14ac:dyDescent="0.2">
      <c r="A1" s="35" t="s">
        <v>130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3" x14ac:dyDescent="0.2">
      <c r="A2" s="1" t="s">
        <v>131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x14ac:dyDescent="0.2">
      <c r="A3" s="46" t="s">
        <v>132</v>
      </c>
      <c r="B3" s="45"/>
      <c r="C3" s="45"/>
      <c r="D3" s="105" t="s">
        <v>133</v>
      </c>
      <c r="E3" s="105" t="s">
        <v>134</v>
      </c>
      <c r="F3" s="105" t="s">
        <v>135</v>
      </c>
      <c r="G3" s="105" t="s">
        <v>136</v>
      </c>
      <c r="H3" s="105" t="s">
        <v>137</v>
      </c>
      <c r="I3" s="105" t="s">
        <v>138</v>
      </c>
      <c r="J3" s="105" t="s">
        <v>139</v>
      </c>
      <c r="K3" s="105" t="s">
        <v>140</v>
      </c>
    </row>
    <row r="4" spans="1:13" x14ac:dyDescent="0.2">
      <c r="A4" s="2" t="s">
        <v>141</v>
      </c>
      <c r="B4" s="2"/>
      <c r="C4" s="2"/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M4" s="29"/>
    </row>
    <row r="5" spans="1:13" x14ac:dyDescent="0.2">
      <c r="A5" s="2" t="s">
        <v>142</v>
      </c>
      <c r="B5" s="2"/>
      <c r="C5" s="2"/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M5" s="29"/>
    </row>
    <row r="6" spans="1:13" x14ac:dyDescent="0.2">
      <c r="A6" s="2" t="s">
        <v>143</v>
      </c>
      <c r="B6" s="2"/>
      <c r="C6" s="2"/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M6" s="29"/>
    </row>
    <row r="7" spans="1:13" x14ac:dyDescent="0.2">
      <c r="A7" s="2" t="s">
        <v>144</v>
      </c>
      <c r="B7" s="2"/>
      <c r="C7" s="2"/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M7" s="29"/>
    </row>
    <row r="8" spans="1:13" x14ac:dyDescent="0.2">
      <c r="A8" s="2" t="s">
        <v>145</v>
      </c>
      <c r="B8" s="2"/>
      <c r="C8" s="2"/>
      <c r="D8" s="4">
        <v>1</v>
      </c>
      <c r="E8" s="4">
        <v>1</v>
      </c>
      <c r="F8" s="4">
        <v>2</v>
      </c>
      <c r="G8" s="4">
        <v>2</v>
      </c>
      <c r="H8" s="4">
        <v>3</v>
      </c>
      <c r="I8" s="4">
        <v>3</v>
      </c>
      <c r="J8" s="4">
        <v>4</v>
      </c>
      <c r="K8" s="4">
        <v>4</v>
      </c>
      <c r="M8" s="29"/>
    </row>
    <row r="9" spans="1:13" x14ac:dyDescent="0.2">
      <c r="A9" s="2" t="s">
        <v>146</v>
      </c>
      <c r="B9" s="2"/>
      <c r="C9" s="2"/>
      <c r="D9" s="4">
        <v>1</v>
      </c>
      <c r="E9" s="4">
        <v>1</v>
      </c>
      <c r="F9" s="4">
        <v>2</v>
      </c>
      <c r="G9" s="4">
        <v>2</v>
      </c>
      <c r="H9" s="4">
        <v>3</v>
      </c>
      <c r="I9" s="4">
        <v>3</v>
      </c>
      <c r="J9" s="4">
        <v>4</v>
      </c>
      <c r="K9" s="4">
        <v>4</v>
      </c>
      <c r="M9" s="29"/>
    </row>
    <row r="10" spans="1:13" x14ac:dyDescent="0.2">
      <c r="A10" s="2" t="s">
        <v>147</v>
      </c>
      <c r="B10" s="2"/>
      <c r="C10" s="2"/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2</v>
      </c>
      <c r="J10" s="4">
        <v>2</v>
      </c>
      <c r="K10" s="4">
        <v>2</v>
      </c>
      <c r="M10" s="29"/>
    </row>
    <row r="12" spans="1:13" x14ac:dyDescent="0.2">
      <c r="A12" s="1" t="s">
        <v>148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3" x14ac:dyDescent="0.2">
      <c r="A13" s="46" t="s">
        <v>132</v>
      </c>
      <c r="B13" s="45" t="s">
        <v>149</v>
      </c>
      <c r="C13" s="45" t="s">
        <v>150</v>
      </c>
      <c r="D13" s="105" t="s">
        <v>133</v>
      </c>
      <c r="E13" s="105" t="s">
        <v>134</v>
      </c>
      <c r="F13" s="105" t="s">
        <v>135</v>
      </c>
      <c r="G13" s="105" t="s">
        <v>136</v>
      </c>
      <c r="H13" s="105" t="s">
        <v>137</v>
      </c>
      <c r="I13" s="105" t="s">
        <v>138</v>
      </c>
      <c r="J13" s="105" t="s">
        <v>139</v>
      </c>
      <c r="K13" s="105" t="s">
        <v>140</v>
      </c>
    </row>
    <row r="14" spans="1:13" x14ac:dyDescent="0.2">
      <c r="A14" s="2" t="s">
        <v>141</v>
      </c>
      <c r="B14" s="2"/>
      <c r="C14" s="2"/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</row>
    <row r="15" spans="1:13" x14ac:dyDescent="0.2">
      <c r="A15" s="2" t="s">
        <v>142</v>
      </c>
      <c r="B15" s="4">
        <v>12000</v>
      </c>
      <c r="C15" s="42">
        <v>0.1</v>
      </c>
      <c r="D15" s="43">
        <f t="shared" ref="D15:D20" si="0">B15*12</f>
        <v>144000</v>
      </c>
      <c r="E15" s="43">
        <f t="shared" ref="E15:K20" si="1">D15*(1+$C15)</f>
        <v>158400</v>
      </c>
      <c r="F15" s="43">
        <f t="shared" si="1"/>
        <v>174240</v>
      </c>
      <c r="G15" s="43">
        <f t="shared" si="1"/>
        <v>191664.00000000003</v>
      </c>
      <c r="H15" s="43">
        <f t="shared" si="1"/>
        <v>210830.40000000005</v>
      </c>
      <c r="I15" s="43">
        <f t="shared" si="1"/>
        <v>231913.44000000009</v>
      </c>
      <c r="J15" s="43">
        <f t="shared" si="1"/>
        <v>255104.78400000013</v>
      </c>
      <c r="K15" s="43">
        <f t="shared" si="1"/>
        <v>280615.26240000018</v>
      </c>
    </row>
    <row r="16" spans="1:13" x14ac:dyDescent="0.2">
      <c r="A16" s="2" t="s">
        <v>143</v>
      </c>
      <c r="B16" s="4">
        <v>5000</v>
      </c>
      <c r="C16" s="42">
        <v>0.1</v>
      </c>
      <c r="D16" s="43">
        <f t="shared" si="0"/>
        <v>60000</v>
      </c>
      <c r="E16" s="43">
        <f t="shared" si="1"/>
        <v>66000</v>
      </c>
      <c r="F16" s="43">
        <f t="shared" si="1"/>
        <v>72600</v>
      </c>
      <c r="G16" s="43">
        <f t="shared" si="1"/>
        <v>79860</v>
      </c>
      <c r="H16" s="43">
        <f t="shared" si="1"/>
        <v>87846</v>
      </c>
      <c r="I16" s="43">
        <f t="shared" si="1"/>
        <v>96630.6</v>
      </c>
      <c r="J16" s="43">
        <f t="shared" si="1"/>
        <v>106293.66000000002</v>
      </c>
      <c r="K16" s="43">
        <f t="shared" si="1"/>
        <v>116923.02600000003</v>
      </c>
    </row>
    <row r="17" spans="1:11" x14ac:dyDescent="0.2">
      <c r="A17" s="2" t="s">
        <v>144</v>
      </c>
      <c r="B17" s="4">
        <v>12000</v>
      </c>
      <c r="C17" s="42">
        <v>0.1</v>
      </c>
      <c r="D17" s="43">
        <f t="shared" si="0"/>
        <v>144000</v>
      </c>
      <c r="E17" s="43">
        <f t="shared" si="1"/>
        <v>158400</v>
      </c>
      <c r="F17" s="43">
        <f t="shared" si="1"/>
        <v>174240</v>
      </c>
      <c r="G17" s="43">
        <f t="shared" si="1"/>
        <v>191664.00000000003</v>
      </c>
      <c r="H17" s="43">
        <f t="shared" si="1"/>
        <v>210830.40000000005</v>
      </c>
      <c r="I17" s="43">
        <f t="shared" si="1"/>
        <v>231913.44000000009</v>
      </c>
      <c r="J17" s="43">
        <f t="shared" si="1"/>
        <v>255104.78400000013</v>
      </c>
      <c r="K17" s="43">
        <f t="shared" si="1"/>
        <v>280615.26240000018</v>
      </c>
    </row>
    <row r="18" spans="1:11" x14ac:dyDescent="0.2">
      <c r="A18" s="2" t="s">
        <v>145</v>
      </c>
      <c r="B18" s="4">
        <v>4000</v>
      </c>
      <c r="C18" s="42">
        <v>0.05</v>
      </c>
      <c r="D18" s="43">
        <f t="shared" si="0"/>
        <v>48000</v>
      </c>
      <c r="E18" s="43">
        <f t="shared" si="1"/>
        <v>50400</v>
      </c>
      <c r="F18" s="43">
        <f t="shared" si="1"/>
        <v>52920</v>
      </c>
      <c r="G18" s="43">
        <f t="shared" si="1"/>
        <v>55566</v>
      </c>
      <c r="H18" s="43">
        <f t="shared" si="1"/>
        <v>58344.3</v>
      </c>
      <c r="I18" s="43">
        <f t="shared" si="1"/>
        <v>61261.515000000007</v>
      </c>
      <c r="J18" s="43">
        <f t="shared" si="1"/>
        <v>64324.59075000001</v>
      </c>
      <c r="K18" s="43">
        <f t="shared" si="1"/>
        <v>67540.820287500013</v>
      </c>
    </row>
    <row r="19" spans="1:11" x14ac:dyDescent="0.2">
      <c r="A19" s="2" t="s">
        <v>146</v>
      </c>
      <c r="B19" s="4">
        <v>4000</v>
      </c>
      <c r="C19" s="42">
        <v>0.05</v>
      </c>
      <c r="D19" s="43">
        <f t="shared" si="0"/>
        <v>48000</v>
      </c>
      <c r="E19" s="43">
        <f t="shared" si="1"/>
        <v>50400</v>
      </c>
      <c r="F19" s="43">
        <f t="shared" si="1"/>
        <v>52920</v>
      </c>
      <c r="G19" s="43">
        <f t="shared" si="1"/>
        <v>55566</v>
      </c>
      <c r="H19" s="43">
        <f t="shared" si="1"/>
        <v>58344.3</v>
      </c>
      <c r="I19" s="43">
        <f t="shared" si="1"/>
        <v>61261.515000000007</v>
      </c>
      <c r="J19" s="43">
        <f t="shared" si="1"/>
        <v>64324.59075000001</v>
      </c>
      <c r="K19" s="43">
        <f t="shared" si="1"/>
        <v>67540.820287500013</v>
      </c>
    </row>
    <row r="20" spans="1:11" x14ac:dyDescent="0.2">
      <c r="A20" s="2" t="s">
        <v>147</v>
      </c>
      <c r="B20" s="4">
        <v>4000</v>
      </c>
      <c r="C20" s="42">
        <v>0.05</v>
      </c>
      <c r="D20" s="43">
        <f t="shared" si="0"/>
        <v>48000</v>
      </c>
      <c r="E20" s="43">
        <f t="shared" si="1"/>
        <v>50400</v>
      </c>
      <c r="F20" s="43">
        <f t="shared" si="1"/>
        <v>52920</v>
      </c>
      <c r="G20" s="43">
        <f t="shared" si="1"/>
        <v>55566</v>
      </c>
      <c r="H20" s="43">
        <f t="shared" si="1"/>
        <v>58344.3</v>
      </c>
      <c r="I20" s="43">
        <f t="shared" si="1"/>
        <v>61261.515000000007</v>
      </c>
      <c r="J20" s="43">
        <f t="shared" si="1"/>
        <v>64324.59075000001</v>
      </c>
      <c r="K20" s="43">
        <f t="shared" si="1"/>
        <v>67540.820287500013</v>
      </c>
    </row>
    <row r="22" spans="1:11" x14ac:dyDescent="0.2">
      <c r="A22" s="1" t="s">
        <v>151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46" t="s">
        <v>132</v>
      </c>
      <c r="B23" s="45"/>
      <c r="C23" s="45"/>
      <c r="D23" s="105" t="s">
        <v>133</v>
      </c>
      <c r="E23" s="105" t="s">
        <v>134</v>
      </c>
      <c r="F23" s="105" t="s">
        <v>135</v>
      </c>
      <c r="G23" s="105" t="s">
        <v>136</v>
      </c>
      <c r="H23" s="105" t="s">
        <v>137</v>
      </c>
      <c r="I23" s="105" t="s">
        <v>138</v>
      </c>
      <c r="J23" s="105" t="s">
        <v>139</v>
      </c>
      <c r="K23" s="105" t="s">
        <v>140</v>
      </c>
    </row>
    <row r="24" spans="1:11" x14ac:dyDescent="0.2">
      <c r="A24" s="2" t="s">
        <v>141</v>
      </c>
      <c r="B24" s="2"/>
      <c r="C24" s="2"/>
      <c r="D24" s="43">
        <f t="shared" ref="D24:K30" si="2">D4*D14</f>
        <v>0</v>
      </c>
      <c r="E24" s="43">
        <f t="shared" si="2"/>
        <v>0</v>
      </c>
      <c r="F24" s="43">
        <f t="shared" si="2"/>
        <v>0</v>
      </c>
      <c r="G24" s="43">
        <f t="shared" si="2"/>
        <v>0</v>
      </c>
      <c r="H24" s="43">
        <f t="shared" si="2"/>
        <v>0</v>
      </c>
      <c r="I24" s="43">
        <f t="shared" si="2"/>
        <v>0</v>
      </c>
      <c r="J24" s="43">
        <f t="shared" si="2"/>
        <v>0</v>
      </c>
      <c r="K24" s="43">
        <f t="shared" si="2"/>
        <v>0</v>
      </c>
    </row>
    <row r="25" spans="1:11" x14ac:dyDescent="0.2">
      <c r="A25" s="2" t="s">
        <v>142</v>
      </c>
      <c r="B25" s="2"/>
      <c r="C25" s="2"/>
      <c r="D25" s="43">
        <f t="shared" si="2"/>
        <v>144000</v>
      </c>
      <c r="E25" s="43">
        <f t="shared" si="2"/>
        <v>158400</v>
      </c>
      <c r="F25" s="43">
        <f t="shared" si="2"/>
        <v>174240</v>
      </c>
      <c r="G25" s="43">
        <f t="shared" si="2"/>
        <v>191664.00000000003</v>
      </c>
      <c r="H25" s="43">
        <f t="shared" si="2"/>
        <v>210830.40000000005</v>
      </c>
      <c r="I25" s="43">
        <f t="shared" si="2"/>
        <v>231913.44000000009</v>
      </c>
      <c r="J25" s="43">
        <f t="shared" si="2"/>
        <v>255104.78400000013</v>
      </c>
      <c r="K25" s="43">
        <f t="shared" si="2"/>
        <v>280615.26240000018</v>
      </c>
    </row>
    <row r="26" spans="1:11" x14ac:dyDescent="0.2">
      <c r="A26" s="2" t="s">
        <v>143</v>
      </c>
      <c r="B26" s="2"/>
      <c r="C26" s="2"/>
      <c r="D26" s="43">
        <f t="shared" si="2"/>
        <v>60000</v>
      </c>
      <c r="E26" s="43">
        <f t="shared" si="2"/>
        <v>66000</v>
      </c>
      <c r="F26" s="43">
        <f t="shared" si="2"/>
        <v>72600</v>
      </c>
      <c r="G26" s="43">
        <f t="shared" si="2"/>
        <v>79860</v>
      </c>
      <c r="H26" s="43">
        <f t="shared" si="2"/>
        <v>87846</v>
      </c>
      <c r="I26" s="43">
        <f t="shared" si="2"/>
        <v>96630.6</v>
      </c>
      <c r="J26" s="43">
        <f t="shared" si="2"/>
        <v>106293.66000000002</v>
      </c>
      <c r="K26" s="43">
        <f t="shared" si="2"/>
        <v>116923.02600000003</v>
      </c>
    </row>
    <row r="27" spans="1:11" x14ac:dyDescent="0.2">
      <c r="A27" s="2" t="s">
        <v>144</v>
      </c>
      <c r="B27" s="2"/>
      <c r="C27" s="2"/>
      <c r="D27" s="43">
        <f t="shared" si="2"/>
        <v>144000</v>
      </c>
      <c r="E27" s="43">
        <f t="shared" si="2"/>
        <v>158400</v>
      </c>
      <c r="F27" s="43">
        <f t="shared" si="2"/>
        <v>174240</v>
      </c>
      <c r="G27" s="43">
        <f t="shared" si="2"/>
        <v>191664.00000000003</v>
      </c>
      <c r="H27" s="43">
        <f t="shared" si="2"/>
        <v>210830.40000000005</v>
      </c>
      <c r="I27" s="43">
        <f t="shared" si="2"/>
        <v>231913.44000000009</v>
      </c>
      <c r="J27" s="43">
        <f t="shared" si="2"/>
        <v>255104.78400000013</v>
      </c>
      <c r="K27" s="43">
        <f t="shared" si="2"/>
        <v>280615.26240000018</v>
      </c>
    </row>
    <row r="28" spans="1:11" x14ac:dyDescent="0.2">
      <c r="A28" s="2" t="s">
        <v>145</v>
      </c>
      <c r="B28" s="2"/>
      <c r="C28" s="2"/>
      <c r="D28" s="43">
        <f t="shared" si="2"/>
        <v>48000</v>
      </c>
      <c r="E28" s="43">
        <f t="shared" si="2"/>
        <v>50400</v>
      </c>
      <c r="F28" s="43">
        <f t="shared" si="2"/>
        <v>105840</v>
      </c>
      <c r="G28" s="43">
        <f t="shared" si="2"/>
        <v>111132</v>
      </c>
      <c r="H28" s="43">
        <f t="shared" si="2"/>
        <v>175032.90000000002</v>
      </c>
      <c r="I28" s="43">
        <f t="shared" si="2"/>
        <v>183784.54500000001</v>
      </c>
      <c r="J28" s="43">
        <f t="shared" si="2"/>
        <v>257298.36300000004</v>
      </c>
      <c r="K28" s="43">
        <f t="shared" si="2"/>
        <v>270163.28115000005</v>
      </c>
    </row>
    <row r="29" spans="1:11" x14ac:dyDescent="0.2">
      <c r="A29" s="2" t="s">
        <v>146</v>
      </c>
      <c r="B29" s="2"/>
      <c r="C29" s="2"/>
      <c r="D29" s="43">
        <f t="shared" si="2"/>
        <v>48000</v>
      </c>
      <c r="E29" s="43">
        <f t="shared" si="2"/>
        <v>50400</v>
      </c>
      <c r="F29" s="43">
        <f t="shared" si="2"/>
        <v>105840</v>
      </c>
      <c r="G29" s="43">
        <f t="shared" si="2"/>
        <v>111132</v>
      </c>
      <c r="H29" s="43">
        <f t="shared" si="2"/>
        <v>175032.90000000002</v>
      </c>
      <c r="I29" s="43">
        <f t="shared" si="2"/>
        <v>183784.54500000001</v>
      </c>
      <c r="J29" s="43">
        <f t="shared" si="2"/>
        <v>257298.36300000004</v>
      </c>
      <c r="K29" s="43">
        <f t="shared" si="2"/>
        <v>270163.28115000005</v>
      </c>
    </row>
    <row r="30" spans="1:11" x14ac:dyDescent="0.2">
      <c r="A30" s="2" t="s">
        <v>147</v>
      </c>
      <c r="B30" s="2"/>
      <c r="C30" s="2"/>
      <c r="D30" s="43">
        <f t="shared" si="2"/>
        <v>48000</v>
      </c>
      <c r="E30" s="43">
        <f t="shared" si="2"/>
        <v>50400</v>
      </c>
      <c r="F30" s="43">
        <f t="shared" si="2"/>
        <v>52920</v>
      </c>
      <c r="G30" s="43">
        <f t="shared" si="2"/>
        <v>55566</v>
      </c>
      <c r="H30" s="43">
        <f t="shared" si="2"/>
        <v>58344.3</v>
      </c>
      <c r="I30" s="43">
        <f t="shared" si="2"/>
        <v>122523.03000000001</v>
      </c>
      <c r="J30" s="43">
        <f t="shared" si="2"/>
        <v>128649.18150000002</v>
      </c>
      <c r="K30" s="43">
        <f t="shared" si="2"/>
        <v>135081.64057500003</v>
      </c>
    </row>
    <row r="31" spans="1:11" x14ac:dyDescent="0.2">
      <c r="A31" s="8" t="s">
        <v>152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x14ac:dyDescent="0.2">
      <c r="A32" s="9" t="s">
        <v>153</v>
      </c>
      <c r="B32" s="9"/>
      <c r="C32" s="9"/>
      <c r="D32" s="11">
        <f t="shared" ref="D32:K32" si="3">SUM(D24:D30)</f>
        <v>492000</v>
      </c>
      <c r="E32" s="11">
        <f t="shared" si="3"/>
        <v>534000</v>
      </c>
      <c r="F32" s="11">
        <f t="shared" si="3"/>
        <v>685680</v>
      </c>
      <c r="G32" s="11">
        <f t="shared" si="3"/>
        <v>741018</v>
      </c>
      <c r="H32" s="11">
        <f t="shared" si="3"/>
        <v>917916.90000000014</v>
      </c>
      <c r="I32" s="11">
        <f t="shared" si="3"/>
        <v>1050549.6000000003</v>
      </c>
      <c r="J32" s="11">
        <f t="shared" si="3"/>
        <v>1259749.1355000003</v>
      </c>
      <c r="K32" s="11">
        <f t="shared" si="3"/>
        <v>1353561.7536750005</v>
      </c>
    </row>
    <row r="33" spans="1:11" x14ac:dyDescent="0.2">
      <c r="A33" s="10"/>
      <c r="B33" s="10"/>
      <c r="C33" s="10"/>
      <c r="D33" s="6"/>
      <c r="E33" s="6"/>
      <c r="F33" s="6"/>
      <c r="G33" s="6"/>
      <c r="H33" s="6"/>
      <c r="I33" s="6"/>
      <c r="J33" s="6"/>
      <c r="K33" s="6"/>
    </row>
    <row r="34" spans="1:11" x14ac:dyDescent="0.2">
      <c r="A34" s="1" t="s">
        <v>154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46"/>
      <c r="B35" s="45"/>
      <c r="C35" s="45"/>
      <c r="D35" s="105" t="s">
        <v>133</v>
      </c>
      <c r="E35" s="105" t="s">
        <v>134</v>
      </c>
      <c r="F35" s="105" t="s">
        <v>135</v>
      </c>
      <c r="G35" s="105" t="s">
        <v>136</v>
      </c>
      <c r="H35" s="105" t="s">
        <v>137</v>
      </c>
      <c r="I35" s="105" t="s">
        <v>138</v>
      </c>
      <c r="J35" s="105" t="s">
        <v>139</v>
      </c>
      <c r="K35" s="105" t="s">
        <v>140</v>
      </c>
    </row>
    <row r="36" spans="1:11" x14ac:dyDescent="0.2">
      <c r="A36" s="2" t="s">
        <v>155</v>
      </c>
      <c r="B36" s="2"/>
      <c r="C36" s="2"/>
      <c r="D36" s="43">
        <f>SUM(D4:D7,D10)</f>
        <v>5</v>
      </c>
      <c r="E36" s="43">
        <f>SUM(E4:E7,E10)</f>
        <v>5</v>
      </c>
      <c r="F36" s="43">
        <f>SUM(F4:F7,F10)</f>
        <v>5</v>
      </c>
      <c r="G36" s="43">
        <f>SUM(G4:G7,G10)</f>
        <v>5</v>
      </c>
      <c r="H36" s="43">
        <f>SUM(H4:H7,H10)</f>
        <v>5</v>
      </c>
      <c r="I36" s="43">
        <v>6</v>
      </c>
      <c r="J36" s="43">
        <v>6</v>
      </c>
      <c r="K36" s="43">
        <v>6</v>
      </c>
    </row>
    <row r="37" spans="1:11" x14ac:dyDescent="0.2">
      <c r="A37" s="2" t="s">
        <v>156</v>
      </c>
      <c r="B37" s="2"/>
      <c r="C37" s="2"/>
      <c r="D37" s="21">
        <f>Assumptions!B47*12</f>
        <v>24000</v>
      </c>
      <c r="E37" s="43">
        <f>D37*(1+Assumptions!$B$52)</f>
        <v>25200</v>
      </c>
      <c r="F37" s="43">
        <f>E37*(1+Assumptions!$B$52)</f>
        <v>26460</v>
      </c>
      <c r="G37" s="43">
        <f>F37*(1+Assumptions!$B$52)</f>
        <v>27783</v>
      </c>
      <c r="H37" s="43">
        <f>G37*(1+Assumptions!$B$52)</f>
        <v>29172.15</v>
      </c>
      <c r="I37" s="43">
        <f>H37*(1+Assumptions!$B$52)</f>
        <v>30630.757500000003</v>
      </c>
      <c r="J37" s="43">
        <f>I37*(1+Assumptions!$B$52)</f>
        <v>32162.295375000005</v>
      </c>
      <c r="K37" s="43">
        <f>J37*(1+Assumptions!$B$52)</f>
        <v>33770.410143750007</v>
      </c>
    </row>
    <row r="38" spans="1:11" x14ac:dyDescent="0.2">
      <c r="A38" s="2" t="s">
        <v>157</v>
      </c>
      <c r="B38" s="44"/>
      <c r="C38" s="2"/>
      <c r="D38" s="43">
        <f t="shared" ref="D38:K38" si="4">D37*D36</f>
        <v>120000</v>
      </c>
      <c r="E38" s="43">
        <f t="shared" si="4"/>
        <v>126000</v>
      </c>
      <c r="F38" s="43">
        <f t="shared" si="4"/>
        <v>132300</v>
      </c>
      <c r="G38" s="43">
        <f t="shared" si="4"/>
        <v>138915</v>
      </c>
      <c r="H38" s="43">
        <f t="shared" si="4"/>
        <v>145860.75</v>
      </c>
      <c r="I38" s="43">
        <f t="shared" si="4"/>
        <v>183784.54500000001</v>
      </c>
      <c r="J38" s="43">
        <f t="shared" si="4"/>
        <v>192973.77225000004</v>
      </c>
      <c r="K38" s="43">
        <f t="shared" si="4"/>
        <v>202622.46086250004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Q68"/>
  <sheetViews>
    <sheetView showGridLines="0" zoomScaleNormal="100" workbookViewId="0">
      <pane ySplit="1" topLeftCell="A3" activePane="bottomLeft" state="frozen"/>
      <selection activeCell="A24" sqref="A24"/>
      <selection pane="bottomLeft"/>
    </sheetView>
  </sheetViews>
  <sheetFormatPr baseColWidth="10" defaultColWidth="8.6640625" defaultRowHeight="15" x14ac:dyDescent="0.2"/>
  <cols>
    <col min="1" max="1" width="26" customWidth="1"/>
    <col min="2" max="2" width="24.33203125" customWidth="1"/>
    <col min="3" max="3" width="12" customWidth="1"/>
    <col min="4" max="4" width="11.5" customWidth="1"/>
    <col min="5" max="9" width="12.1640625" bestFit="1" customWidth="1"/>
    <col min="10" max="12" width="12.1640625" customWidth="1"/>
    <col min="13" max="13" width="12" customWidth="1"/>
    <col min="14" max="14" width="14" customWidth="1"/>
    <col min="16" max="16" width="9" customWidth="1"/>
    <col min="17" max="17" width="10.1640625" bestFit="1" customWidth="1"/>
  </cols>
  <sheetData>
    <row r="1" spans="1:16" ht="27" customHeight="1" x14ac:dyDescent="0.2">
      <c r="A1" s="35" t="s">
        <v>158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6" hidden="1" x14ac:dyDescent="0.2">
      <c r="D2" s="107"/>
      <c r="E2" s="107">
        <v>0</v>
      </c>
      <c r="F2" s="107">
        <f t="shared" ref="F2:L2" si="0">E2+1</f>
        <v>1</v>
      </c>
      <c r="G2" s="107">
        <f t="shared" si="0"/>
        <v>2</v>
      </c>
      <c r="H2" s="107">
        <f t="shared" si="0"/>
        <v>3</v>
      </c>
      <c r="I2" s="107">
        <f t="shared" si="0"/>
        <v>4</v>
      </c>
      <c r="J2" s="107">
        <f t="shared" si="0"/>
        <v>5</v>
      </c>
      <c r="K2" s="107">
        <f t="shared" si="0"/>
        <v>6</v>
      </c>
      <c r="L2" s="107">
        <f t="shared" si="0"/>
        <v>7</v>
      </c>
    </row>
    <row r="3" spans="1:16" x14ac:dyDescent="0.2">
      <c r="A3" s="1" t="s">
        <v>159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6" x14ac:dyDescent="0.2">
      <c r="A4" s="46"/>
      <c r="B4" s="45"/>
      <c r="C4" s="105"/>
      <c r="D4" s="45"/>
      <c r="E4" s="45" t="s">
        <v>133</v>
      </c>
      <c r="F4" s="45" t="s">
        <v>134</v>
      </c>
      <c r="G4" s="45" t="s">
        <v>135</v>
      </c>
      <c r="H4" s="45" t="s">
        <v>136</v>
      </c>
      <c r="I4" s="45" t="s">
        <v>137</v>
      </c>
      <c r="J4" s="45" t="s">
        <v>138</v>
      </c>
      <c r="K4" s="45" t="s">
        <v>139</v>
      </c>
      <c r="L4" s="45" t="s">
        <v>140</v>
      </c>
      <c r="M4" s="105"/>
      <c r="N4" s="105"/>
    </row>
    <row r="5" spans="1:16" x14ac:dyDescent="0.2">
      <c r="A5" s="96" t="s">
        <v>7</v>
      </c>
      <c r="B5" s="41"/>
      <c r="E5" s="104">
        <f t="array" ref="E5">INDEX(Simulation!$D$2:$G$41,MATCH(1,(Simulation!$C$2:$C$41=$A5)*(Simulation!$A$2:$A$41=E$2+1),0),MATCH($D12,Simulation!$D$1:$G$1,0))</f>
        <v>80</v>
      </c>
      <c r="F5" s="104">
        <f t="array" ref="F5">INDEX(Simulation!$D$2:$G$41,MATCH(1,(Simulation!$C$2:$C$41=$A5)*(Simulation!$A$2:$A$41=F$2+1),0),MATCH($D12,Simulation!$D$1:$G$1,0))</f>
        <v>83</v>
      </c>
      <c r="G5" s="104">
        <f t="array" ref="G5">INDEX(Simulation!$D$2:$G$41,MATCH(1,(Simulation!$C$2:$C$41=$A5)*(Simulation!$A$2:$A$41=G$2+1),0),MATCH($D12,Simulation!$D$1:$G$1,0))</f>
        <v>90</v>
      </c>
      <c r="H5" s="104">
        <f t="array" ref="H5">INDEX(Simulation!$D$2:$G$41,MATCH(1,(Simulation!$C$2:$C$41=$A5)*(Simulation!$A$2:$A$41=H$2+1),0),MATCH($D12,Simulation!$D$1:$G$1,0))</f>
        <v>97</v>
      </c>
      <c r="I5" s="104">
        <f t="array" ref="I5">INDEX(Simulation!$D$2:$G$41,MATCH(1,(Simulation!$C$2:$C$41=$A5)*(Simulation!$A$2:$A$41=I$2+1),0),MATCH($D12,Simulation!$D$1:$G$1,0))</f>
        <v>100</v>
      </c>
      <c r="J5" s="104">
        <f t="array" ref="J5">INDEX(Simulation!$D$2:$G$41,MATCH(1,(Simulation!$C$2:$C$41=$A5)*(Simulation!$A$2:$A$41=J$2+1),0),MATCH($D12,Simulation!$D$1:$G$1,0))</f>
        <v>109</v>
      </c>
      <c r="K5" s="104">
        <f t="array" ref="K5">INDEX(Simulation!$D$2:$G$41,MATCH(1,(Simulation!$C$2:$C$41=$A5)*(Simulation!$A$2:$A$41=K$2+1),0),MATCH($D12,Simulation!$D$1:$G$1,0))</f>
        <v>120</v>
      </c>
      <c r="L5" s="104">
        <f t="array" ref="L5">INDEX(Simulation!$D$2:$G$41,MATCH(1,(Simulation!$C$2:$C$41=$A5)*(Simulation!$A$2:$A$41=L$2+1),0),MATCH($D12,Simulation!$D$1:$G$1,0))</f>
        <v>127</v>
      </c>
      <c r="M5" s="6"/>
      <c r="N5" s="98"/>
      <c r="P5" s="120"/>
    </row>
    <row r="6" spans="1:16" x14ac:dyDescent="0.2">
      <c r="A6" s="96" t="s">
        <v>8</v>
      </c>
      <c r="B6" s="41"/>
      <c r="E6" s="104">
        <f t="array" ref="E6">INDEX(Simulation!$D$2:$G$41,MATCH(1,(Simulation!$C$2:$C$41=$A6)*(Simulation!$A$2:$A$41=E$2+1),0),MATCH($D13,Simulation!$D$1:$G$1,0))</f>
        <v>26</v>
      </c>
      <c r="F6" s="104">
        <f t="array" ref="F6">INDEX(Simulation!$D$2:$G$41,MATCH(1,(Simulation!$C$2:$C$41=$A6)*(Simulation!$A$2:$A$41=F$2+1),0),MATCH($D13,Simulation!$D$1:$G$1,0))</f>
        <v>28</v>
      </c>
      <c r="G6" s="104">
        <f t="array" ref="G6">INDEX(Simulation!$D$2:$G$41,MATCH(1,(Simulation!$C$2:$C$41=$A6)*(Simulation!$A$2:$A$41=G$2+1),0),MATCH($D13,Simulation!$D$1:$G$1,0))</f>
        <v>30</v>
      </c>
      <c r="H6" s="104">
        <f t="array" ref="H6">INDEX(Simulation!$D$2:$G$41,MATCH(1,(Simulation!$C$2:$C$41=$A6)*(Simulation!$A$2:$A$41=H$2+1),0),MATCH($D13,Simulation!$D$1:$G$1,0))</f>
        <v>34</v>
      </c>
      <c r="I6" s="104">
        <f t="array" ref="I6">INDEX(Simulation!$D$2:$G$41,MATCH(1,(Simulation!$C$2:$C$41=$A6)*(Simulation!$A$2:$A$41=I$2+1),0),MATCH($D13,Simulation!$D$1:$G$1,0))</f>
        <v>34</v>
      </c>
      <c r="J6" s="104">
        <f t="array" ref="J6">INDEX(Simulation!$D$2:$G$41,MATCH(1,(Simulation!$C$2:$C$41=$A6)*(Simulation!$A$2:$A$41=J$2+1),0),MATCH($D13,Simulation!$D$1:$G$1,0))</f>
        <v>38</v>
      </c>
      <c r="K6" s="104">
        <f t="array" ref="K6">INDEX(Simulation!$D$2:$G$41,MATCH(1,(Simulation!$C$2:$C$41=$A6)*(Simulation!$A$2:$A$41=K$2+1),0),MATCH($D13,Simulation!$D$1:$G$1,0))</f>
        <v>42</v>
      </c>
      <c r="L6" s="104">
        <f t="array" ref="L6">INDEX(Simulation!$D$2:$G$41,MATCH(1,(Simulation!$C$2:$C$41=$A6)*(Simulation!$A$2:$A$41=L$2+1),0),MATCH($D13,Simulation!$D$1:$G$1,0))</f>
        <v>46</v>
      </c>
      <c r="M6" s="6"/>
      <c r="N6" s="98"/>
    </row>
    <row r="7" spans="1:16" x14ac:dyDescent="0.2">
      <c r="A7" s="96" t="s">
        <v>9</v>
      </c>
      <c r="B7" s="99"/>
      <c r="E7" s="104">
        <f t="array" ref="E7">INDEX(Simulation!$D$2:$G$41,MATCH(1,(Simulation!$C$2:$C$41=$A7)*(Simulation!$A$2:$A$41=E$2+1),0),MATCH($D14,Simulation!$D$1:$G$1,0))</f>
        <v>2300</v>
      </c>
      <c r="F7" s="104">
        <f t="array" ref="F7">INDEX(Simulation!$D$2:$G$41,MATCH(1,(Simulation!$C$2:$C$41=$A7)*(Simulation!$A$2:$A$41=F$2+1),0),MATCH($D14,Simulation!$D$1:$G$1,0))</f>
        <v>2408</v>
      </c>
      <c r="G7" s="104">
        <f t="array" ref="G7">INDEX(Simulation!$D$2:$G$41,MATCH(1,(Simulation!$C$2:$C$41=$A7)*(Simulation!$A$2:$A$41=G$2+1),0),MATCH($D14,Simulation!$D$1:$G$1,0))</f>
        <v>2744</v>
      </c>
      <c r="H7" s="104">
        <f t="array" ref="H7">INDEX(Simulation!$D$2:$G$41,MATCH(1,(Simulation!$C$2:$C$41=$A7)*(Simulation!$A$2:$A$41=H$2+1),0),MATCH($D14,Simulation!$D$1:$G$1,0))</f>
        <v>2950</v>
      </c>
      <c r="I7" s="104">
        <f t="array" ref="I7">INDEX(Simulation!$D$2:$G$41,MATCH(1,(Simulation!$C$2:$C$41=$A7)*(Simulation!$A$2:$A$41=I$2+1),0),MATCH($D14,Simulation!$D$1:$G$1,0))</f>
        <v>3094</v>
      </c>
      <c r="J7" s="104">
        <f t="array" ref="J7">INDEX(Simulation!$D$2:$G$41,MATCH(1,(Simulation!$C$2:$C$41=$A7)*(Simulation!$A$2:$A$41=J$2+1),0),MATCH($D14,Simulation!$D$1:$G$1,0))</f>
        <v>3558</v>
      </c>
      <c r="K7" s="104">
        <f t="array" ref="K7">INDEX(Simulation!$D$2:$G$41,MATCH(1,(Simulation!$C$2:$C$41=$A7)*(Simulation!$A$2:$A$41=K$2+1),0),MATCH($D14,Simulation!$D$1:$G$1,0))</f>
        <v>3950</v>
      </c>
      <c r="L7" s="104">
        <f t="array" ref="L7">INDEX(Simulation!$D$2:$G$41,MATCH(1,(Simulation!$C$2:$C$41=$A7)*(Simulation!$A$2:$A$41=L$2+1),0),MATCH($D14,Simulation!$D$1:$G$1,0))</f>
        <v>4264</v>
      </c>
      <c r="M7" s="6"/>
      <c r="N7" s="98"/>
    </row>
    <row r="8" spans="1:16" x14ac:dyDescent="0.2">
      <c r="A8" s="96" t="s">
        <v>10</v>
      </c>
      <c r="B8" s="100"/>
      <c r="E8" s="104">
        <f t="array" ref="E8">INDEX(Simulation!$D$2:$G$41,MATCH(1,(Simulation!$C$2:$C$41=$A8)*(Simulation!$A$2:$A$41=E$2+1),0),MATCH($D15,Simulation!$D$1:$G$1,0))</f>
        <v>2960</v>
      </c>
      <c r="F8" s="104">
        <f t="array" ref="F8">INDEX(Simulation!$D$2:$G$41,MATCH(1,(Simulation!$C$2:$C$41=$A8)*(Simulation!$A$2:$A$41=F$2+1),0),MATCH($D15,Simulation!$D$1:$G$1,0))</f>
        <v>3010</v>
      </c>
      <c r="G8" s="104">
        <f t="array" ref="G8">INDEX(Simulation!$D$2:$G$41,MATCH(1,(Simulation!$C$2:$C$41=$A8)*(Simulation!$A$2:$A$41=G$2+1),0),MATCH($D15,Simulation!$D$1:$G$1,0))</f>
        <v>3230</v>
      </c>
      <c r="H8" s="104">
        <f t="array" ref="H8">INDEX(Simulation!$D$2:$G$41,MATCH(1,(Simulation!$C$2:$C$41=$A8)*(Simulation!$A$2:$A$41=H$2+1),0),MATCH($D15,Simulation!$D$1:$G$1,0))</f>
        <v>3440</v>
      </c>
      <c r="I8" s="104">
        <f t="array" ref="I8">INDEX(Simulation!$D$2:$G$41,MATCH(1,(Simulation!$C$2:$C$41=$A8)*(Simulation!$A$2:$A$41=I$2+1),0),MATCH($D15,Simulation!$D$1:$G$1,0))</f>
        <v>3590</v>
      </c>
      <c r="J8" s="104">
        <f t="array" ref="J8">INDEX(Simulation!$D$2:$G$41,MATCH(1,(Simulation!$C$2:$C$41=$A8)*(Simulation!$A$2:$A$41=J$2+1),0),MATCH($D15,Simulation!$D$1:$G$1,0))</f>
        <v>3880</v>
      </c>
      <c r="K8" s="104">
        <f t="array" ref="K8">INDEX(Simulation!$D$2:$G$41,MATCH(1,(Simulation!$C$2:$C$41=$A8)*(Simulation!$A$2:$A$41=K$2+1),0),MATCH($D15,Simulation!$D$1:$G$1,0))</f>
        <v>4340</v>
      </c>
      <c r="L8" s="104">
        <f t="array" ref="L8">INDEX(Simulation!$D$2:$G$41,MATCH(1,(Simulation!$C$2:$C$41=$A8)*(Simulation!$A$2:$A$41=L$2+1),0),MATCH($D15,Simulation!$D$1:$G$1,0))</f>
        <v>4490</v>
      </c>
      <c r="M8" s="6"/>
      <c r="N8" s="98"/>
    </row>
    <row r="9" spans="1:16" x14ac:dyDescent="0.2">
      <c r="A9" s="96" t="s">
        <v>11</v>
      </c>
      <c r="B9" s="100"/>
      <c r="E9" s="104">
        <f t="array" ref="E9">INDEX(Simulation!$D$2:$G$41,MATCH(1,(Simulation!$C$2:$C$41=$A9)*(Simulation!$A$2:$A$41=E$2+1),0),MATCH($D16,Simulation!$D$1:$G$1,0))</f>
        <v>740</v>
      </c>
      <c r="F9" s="104">
        <f t="array" ref="F9">INDEX(Simulation!$D$2:$G$41,MATCH(1,(Simulation!$C$2:$C$41=$A9)*(Simulation!$A$2:$A$41=F$2+1),0),MATCH($D16,Simulation!$D$1:$G$1,0))</f>
        <v>740</v>
      </c>
      <c r="G9" s="104">
        <f t="array" ref="G9">INDEX(Simulation!$D$2:$G$41,MATCH(1,(Simulation!$C$2:$C$41=$A9)*(Simulation!$A$2:$A$41=G$2+1),0),MATCH($D16,Simulation!$D$1:$G$1,0))</f>
        <v>840</v>
      </c>
      <c r="H9" s="104">
        <f t="array" ref="H9">INDEX(Simulation!$D$2:$G$41,MATCH(1,(Simulation!$C$2:$C$41=$A9)*(Simulation!$A$2:$A$41=H$2+1),0),MATCH($D16,Simulation!$D$1:$G$1,0))</f>
        <v>880</v>
      </c>
      <c r="I9" s="104">
        <f t="array" ref="I9">INDEX(Simulation!$D$2:$G$41,MATCH(1,(Simulation!$C$2:$C$41=$A9)*(Simulation!$A$2:$A$41=I$2+1),0),MATCH($D16,Simulation!$D$1:$G$1,0))</f>
        <v>918</v>
      </c>
      <c r="J9" s="104">
        <f t="array" ref="J9">INDEX(Simulation!$D$2:$G$41,MATCH(1,(Simulation!$C$2:$C$41=$A9)*(Simulation!$A$2:$A$41=J$2+1),0),MATCH($D16,Simulation!$D$1:$G$1,0))</f>
        <v>960</v>
      </c>
      <c r="K9" s="104">
        <f t="array" ref="K9">INDEX(Simulation!$D$2:$G$41,MATCH(1,(Simulation!$C$2:$C$41=$A9)*(Simulation!$A$2:$A$41=K$2+1),0),MATCH($D16,Simulation!$D$1:$G$1,0))</f>
        <v>1040</v>
      </c>
      <c r="L9" s="104">
        <f t="array" ref="L9">INDEX(Simulation!$D$2:$G$41,MATCH(1,(Simulation!$C$2:$C$41=$A9)*(Simulation!$A$2:$A$41=L$2+1),0),MATCH($D16,Simulation!$D$1:$G$1,0))</f>
        <v>1080</v>
      </c>
      <c r="M9" s="6"/>
      <c r="N9" s="98"/>
      <c r="P9" s="36"/>
    </row>
    <row r="10" spans="1:16" x14ac:dyDescent="0.2">
      <c r="A10" s="1" t="s">
        <v>160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6" ht="26" customHeight="1" x14ac:dyDescent="0.2">
      <c r="A11" s="46"/>
      <c r="B11" s="45"/>
      <c r="C11" s="105" t="s">
        <v>161</v>
      </c>
      <c r="D11" s="45" t="s">
        <v>162</v>
      </c>
      <c r="E11" s="45" t="s">
        <v>133</v>
      </c>
      <c r="F11" s="45" t="s">
        <v>134</v>
      </c>
      <c r="G11" s="45" t="s">
        <v>135</v>
      </c>
      <c r="H11" s="45" t="s">
        <v>136</v>
      </c>
      <c r="I11" s="45" t="s">
        <v>137</v>
      </c>
      <c r="J11" s="45" t="s">
        <v>138</v>
      </c>
      <c r="K11" s="45" t="s">
        <v>139</v>
      </c>
      <c r="L11" s="45" t="s">
        <v>140</v>
      </c>
      <c r="M11" s="105" t="s">
        <v>163</v>
      </c>
      <c r="N11" s="105" t="s">
        <v>164</v>
      </c>
    </row>
    <row r="12" spans="1:16" x14ac:dyDescent="0.2">
      <c r="A12" s="96" t="s">
        <v>7</v>
      </c>
      <c r="B12" s="41"/>
      <c r="C12" s="97"/>
      <c r="D12" s="110">
        <v>0.85</v>
      </c>
      <c r="E12" s="104">
        <f>E5</f>
        <v>80</v>
      </c>
      <c r="F12" s="104">
        <f>IF(F5&gt;MAX($E$5:E5),F5-MAX($E$5:E5),0)</f>
        <v>3</v>
      </c>
      <c r="G12" s="104">
        <f>IF(G5&gt;MAX($E$5:F5),G5-MAX($E$5:F5),0)</f>
        <v>7</v>
      </c>
      <c r="H12" s="104">
        <f>IF(H5&gt;MAX($E$5:G5),H5-MAX($E$5:G5),0)</f>
        <v>7</v>
      </c>
      <c r="I12" s="104">
        <f>IF(I5&gt;MAX($E$5:H5),I5-MAX($E$5:H5),0)</f>
        <v>3</v>
      </c>
      <c r="J12" s="104">
        <f>IF(J5&gt;MAX($E$5:I5),J5-MAX($E$5:I5),0)</f>
        <v>9</v>
      </c>
      <c r="K12" s="104">
        <f>IF(K5&gt;MAX($E$5:J5),K5-MAX($E$5:J5),0)</f>
        <v>11</v>
      </c>
      <c r="L12" s="104">
        <f>IF(L5&gt;MAX($E$5:K5),L5-MAX($E$5:K5),0)</f>
        <v>7</v>
      </c>
      <c r="M12" s="6">
        <f>SUM(E12:L12)</f>
        <v>127</v>
      </c>
      <c r="N12" s="98">
        <f>SUM(E18:I18)</f>
        <v>9971619.0252800006</v>
      </c>
      <c r="P12" s="120"/>
    </row>
    <row r="13" spans="1:16" x14ac:dyDescent="0.2">
      <c r="A13" s="96" t="s">
        <v>8</v>
      </c>
      <c r="B13" s="41"/>
      <c r="C13" s="109">
        <f>Assumptions!B29</f>
        <v>40000</v>
      </c>
      <c r="D13" s="110">
        <f>Assumptions!B11</f>
        <v>0.5</v>
      </c>
      <c r="E13" s="104">
        <f>E6</f>
        <v>26</v>
      </c>
      <c r="F13" s="104">
        <f>IF(F6&gt;MAX($E$6:E6),F6-MAX($E$6:E6),0)</f>
        <v>2</v>
      </c>
      <c r="G13" s="104">
        <f>IF(G6&gt;MAX($E$6:F6),G6-MAX($E$6:F6),0)</f>
        <v>2</v>
      </c>
      <c r="H13" s="104">
        <f>IF(H6&gt;MAX($E$6:G6),H6-MAX($E$6:G6),0)</f>
        <v>4</v>
      </c>
      <c r="I13" s="104">
        <f>IF(I6&gt;MAX($E$6:H6),I6-MAX($E$6:H6),0)</f>
        <v>0</v>
      </c>
      <c r="J13" s="104">
        <f>IF(J6&gt;MAX($E$6:I6),J6-MAX($E$6:I6),0)</f>
        <v>4</v>
      </c>
      <c r="K13" s="104">
        <f>IF(K6&gt;MAX($E$6:J6),K6-MAX($E$6:J6),0)</f>
        <v>4</v>
      </c>
      <c r="L13" s="104">
        <f>IF(L6&gt;MAX($E$6:K6),L6-MAX($E$6:K6),0)</f>
        <v>4</v>
      </c>
      <c r="M13" s="6">
        <f>SUM(E13:L13)</f>
        <v>46</v>
      </c>
      <c r="N13" s="98">
        <f>SUM(E19:I19)</f>
        <v>1374625.28</v>
      </c>
    </row>
    <row r="14" spans="1:16" x14ac:dyDescent="0.2">
      <c r="A14" s="96" t="s">
        <v>9</v>
      </c>
      <c r="B14" s="99"/>
      <c r="C14" s="109">
        <f>Assumptions!B33</f>
        <v>300</v>
      </c>
      <c r="D14" s="110">
        <f>Assumptions!B12</f>
        <v>0.85</v>
      </c>
      <c r="E14" s="104">
        <f>E7</f>
        <v>2300</v>
      </c>
      <c r="F14" s="104">
        <f>IF(F7&gt;MAX($E$7:E7),F7-MAX($E$7:E7),0)</f>
        <v>108</v>
      </c>
      <c r="G14" s="104">
        <f>IF(G7&gt;MAX($E$7:F7),G7-MAX($E$7:F7),0)</f>
        <v>336</v>
      </c>
      <c r="H14" s="104">
        <f>IF(H7&gt;MAX($E$7:G7),H7-MAX($E$7:G7),0)</f>
        <v>206</v>
      </c>
      <c r="I14" s="104">
        <f>IF(I7&gt;MAX($E$7:H7),I7-MAX($E$7:H7),0)</f>
        <v>144</v>
      </c>
      <c r="J14" s="104">
        <f>IF(J7&gt;MAX($E$7:I7),J7-MAX($E$7:I7),0)</f>
        <v>464</v>
      </c>
      <c r="K14" s="104">
        <f>IF(K7&gt;MAX($E$7:J7),K7-MAX($E$7:J7),0)</f>
        <v>392</v>
      </c>
      <c r="L14" s="104">
        <f>IF(L7&gt;MAX($E$7:K7),L7-MAX($E$7:K7),0)</f>
        <v>314</v>
      </c>
      <c r="M14" s="6">
        <f>SUM(E14:L14)</f>
        <v>4264</v>
      </c>
      <c r="N14" s="98">
        <f>SUM(E20:I20)</f>
        <v>940264.0437119999</v>
      </c>
    </row>
    <row r="15" spans="1:16" x14ac:dyDescent="0.2">
      <c r="A15" s="96" t="s">
        <v>10</v>
      </c>
      <c r="B15" s="100"/>
      <c r="C15" s="109">
        <f>Assumptions!B34</f>
        <v>400</v>
      </c>
      <c r="D15" s="110">
        <f>Assumptions!B13</f>
        <v>0.85</v>
      </c>
      <c r="E15" s="104">
        <f>E8</f>
        <v>2960</v>
      </c>
      <c r="F15" s="104">
        <f>IF(F8&gt;MAX($E$8:E8),F8-MAX($E$8:E8),0)</f>
        <v>50</v>
      </c>
      <c r="G15" s="104">
        <f>IF(G8&gt;MAX($E$8:F8),G8-MAX($E$8:F8),0)</f>
        <v>220</v>
      </c>
      <c r="H15" s="104">
        <f>IF(H8&gt;MAX($E$8:G8),H8-MAX($E$8:G8),0)</f>
        <v>210</v>
      </c>
      <c r="I15" s="104">
        <f>IF(I8&gt;MAX($E$8:H8),I8-MAX($E$8:H8),0)</f>
        <v>150</v>
      </c>
      <c r="J15" s="104">
        <f>IF(J8&gt;MAX($E$8:I8),J8-MAX($E$8:I8),0)</f>
        <v>290</v>
      </c>
      <c r="K15" s="104">
        <f>IF(K8&gt;MAX($E$8:J8),K8-MAX($E$8:J8),0)</f>
        <v>460</v>
      </c>
      <c r="L15" s="104">
        <f>IF(L8&gt;MAX($E$8:K8),L8-MAX($E$8:K8),0)</f>
        <v>150</v>
      </c>
      <c r="M15" s="6">
        <f>SUM(E15:L15)</f>
        <v>4490</v>
      </c>
      <c r="N15" s="98">
        <f>SUM(E21:I21)</f>
        <v>1450042.6015999999</v>
      </c>
    </row>
    <row r="16" spans="1:16" x14ac:dyDescent="0.2">
      <c r="A16" s="96" t="s">
        <v>11</v>
      </c>
      <c r="B16" s="100"/>
      <c r="C16" s="109">
        <f>Assumptions!B38</f>
        <v>500</v>
      </c>
      <c r="D16" s="110">
        <f>Assumptions!B14</f>
        <v>0.85</v>
      </c>
      <c r="E16" s="104">
        <f>E9</f>
        <v>740</v>
      </c>
      <c r="F16" s="104">
        <f>IF(F9&gt;MAX($E$9:E9),F9-MAX($E$9:E9),0)</f>
        <v>0</v>
      </c>
      <c r="G16" s="104">
        <f>IF(G9&gt;MAX($E$9:F9),G9-MAX($E$9:F9),0)</f>
        <v>100</v>
      </c>
      <c r="H16" s="104">
        <f>IF(H9&gt;MAX($E$9:G9),H9-MAX($E$9:G9),0)</f>
        <v>40</v>
      </c>
      <c r="I16" s="104">
        <f>IF(I9&gt;MAX($E$9:H9),I9-MAX($E$9:H9),0)</f>
        <v>38</v>
      </c>
      <c r="J16" s="104">
        <f>IF(J9&gt;MAX($E$9:I9),J9-MAX($E$9:I9),0)</f>
        <v>42</v>
      </c>
      <c r="K16" s="104">
        <f>IF(K9&gt;MAX($E$9:J9),K9-MAX($E$9:J9),0)</f>
        <v>80</v>
      </c>
      <c r="L16" s="104">
        <f>IF(L9&gt;MAX($E$9:K9),L9-MAX($E$9:K9),0)</f>
        <v>40</v>
      </c>
      <c r="M16" s="6">
        <f>SUM(E16:L16)</f>
        <v>1080</v>
      </c>
      <c r="N16" s="98">
        <f>SUM(E22:I22)</f>
        <v>463810.37104</v>
      </c>
      <c r="P16" s="36"/>
    </row>
    <row r="17" spans="1:17" x14ac:dyDescent="0.2">
      <c r="A17" s="8" t="s">
        <v>152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7" x14ac:dyDescent="0.2">
      <c r="A18" s="9" t="s">
        <v>165</v>
      </c>
      <c r="B18" s="10"/>
      <c r="E18" s="11">
        <f t="shared" ref="E18:L18" si="1">E48</f>
        <v>6658100</v>
      </c>
      <c r="F18" s="11">
        <f t="shared" si="1"/>
        <v>764286</v>
      </c>
      <c r="G18" s="11">
        <f t="shared" si="1"/>
        <v>708928.56</v>
      </c>
      <c r="H18" s="11">
        <f t="shared" si="1"/>
        <v>884516.8679999999</v>
      </c>
      <c r="I18" s="11">
        <f t="shared" si="1"/>
        <v>955787.59727999987</v>
      </c>
      <c r="J18" s="11">
        <f t="shared" si="1"/>
        <v>0</v>
      </c>
      <c r="K18" s="11">
        <f t="shared" si="1"/>
        <v>0</v>
      </c>
      <c r="L18" s="11">
        <f t="shared" si="1"/>
        <v>0</v>
      </c>
      <c r="M18" s="11"/>
      <c r="N18" s="11">
        <f>SUM(E18:I18)</f>
        <v>9971619.0252800006</v>
      </c>
    </row>
    <row r="19" spans="1:17" x14ac:dyDescent="0.2">
      <c r="A19" s="9" t="s">
        <v>166</v>
      </c>
      <c r="B19" s="10"/>
      <c r="E19" s="11">
        <f>E13*$C13*(1+Assumptions!$B$42)^'CapEx &amp; Storage'!E$2</f>
        <v>1040000</v>
      </c>
      <c r="F19" s="11">
        <f>F13*$C13*(1+Assumptions!$B$42)^'CapEx &amp; Storage'!F$2</f>
        <v>81600</v>
      </c>
      <c r="G19" s="11">
        <f>G13*$C13*(1+Assumptions!$B$42)^'CapEx &amp; Storage'!G$2</f>
        <v>83232</v>
      </c>
      <c r="H19" s="11">
        <f>H13*$C13*(1+Assumptions!$B$42)^'CapEx &amp; Storage'!H$2</f>
        <v>169793.28</v>
      </c>
      <c r="I19" s="11">
        <f>I13*$C13*(1+Assumptions!$B$42)^'CapEx &amp; Storage'!I$2</f>
        <v>0</v>
      </c>
      <c r="J19" s="11">
        <f>J13*$C13*(1+Assumptions!$B$42)^'CapEx &amp; Storage'!J$2</f>
        <v>176652.92851200001</v>
      </c>
      <c r="K19" s="11">
        <f>K13*$C13*(1+Assumptions!$B$42)^'CapEx &amp; Storage'!K$2</f>
        <v>180185.98708224</v>
      </c>
      <c r="L19" s="11">
        <f>L13*$C13*(1+Assumptions!$B$42)^'CapEx &amp; Storage'!L$2</f>
        <v>183789.70682388477</v>
      </c>
      <c r="N19" s="11">
        <f>SUM(E19:I19)</f>
        <v>1374625.28</v>
      </c>
    </row>
    <row r="20" spans="1:17" x14ac:dyDescent="0.2">
      <c r="A20" s="9" t="s">
        <v>167</v>
      </c>
      <c r="B20" s="10"/>
      <c r="E20" s="11">
        <f>E14*$C14*(1+Assumptions!$B$42)^'CapEx &amp; Storage'!E$2</f>
        <v>690000</v>
      </c>
      <c r="F20" s="11">
        <f>F14*$C14*(1+Assumptions!$B$42)^'CapEx &amp; Storage'!F$2</f>
        <v>33048</v>
      </c>
      <c r="G20" s="11">
        <f>G14*$C14*(1+Assumptions!$B$42)^'CapEx &amp; Storage'!G$2</f>
        <v>104872.31999999999</v>
      </c>
      <c r="H20" s="11">
        <f>H14*$C14*(1+Assumptions!$B$42)^'CapEx &amp; Storage'!H$2</f>
        <v>65582.654399999999</v>
      </c>
      <c r="I20" s="11">
        <f>I14*$C14*(1+Assumptions!$B$42)^'CapEx &amp; Storage'!I$2</f>
        <v>46761.069312</v>
      </c>
      <c r="J20" s="11">
        <f>J14*$C14*(1+Assumptions!$B$42)^'CapEx &amp; Storage'!J$2</f>
        <v>153688.04780544</v>
      </c>
      <c r="K20" s="11">
        <f>K14*$C14*(1+Assumptions!$B$42)^'CapEx &amp; Storage'!K$2</f>
        <v>132436.70050544641</v>
      </c>
      <c r="L20" s="11">
        <f>L14*$C14*(1+Assumptions!$B$42)^'CapEx &amp; Storage'!L$2</f>
        <v>108206.18989256216</v>
      </c>
      <c r="N20" s="11">
        <f>SUM(E20:I20)</f>
        <v>940264.0437119999</v>
      </c>
    </row>
    <row r="21" spans="1:17" x14ac:dyDescent="0.2">
      <c r="A21" s="9" t="s">
        <v>168</v>
      </c>
      <c r="B21" s="10"/>
      <c r="E21" s="11">
        <f>E15*$C15*(1+Assumptions!$B$42)^'CapEx &amp; Storage'!E$2</f>
        <v>1184000</v>
      </c>
      <c r="F21" s="11">
        <f>F15*$C15*(1+Assumptions!$B$42)^'CapEx &amp; Storage'!F$2</f>
        <v>20400</v>
      </c>
      <c r="G21" s="11">
        <f>G15*$C15*(1+Assumptions!$B$42)^'CapEx &amp; Storage'!G$2</f>
        <v>91555.199999999997</v>
      </c>
      <c r="H21" s="11">
        <f>H15*$C15*(1+Assumptions!$B$42)^'CapEx &amp; Storage'!H$2</f>
        <v>89141.471999999994</v>
      </c>
      <c r="I21" s="11">
        <f>I15*$C15*(1+Assumptions!$B$42)^'CapEx &amp; Storage'!I$2</f>
        <v>64945.929599999996</v>
      </c>
      <c r="J21" s="11">
        <f>J15*$C15*(1+Assumptions!$B$42)^'CapEx &amp; Storage'!J$2</f>
        <v>128073.3731712</v>
      </c>
      <c r="K21" s="11">
        <f>K15*$C15*(1+Assumptions!$B$42)^'CapEx &amp; Storage'!K$2</f>
        <v>207213.88514457602</v>
      </c>
      <c r="L21" s="11">
        <f>L15*$C15*(1+Assumptions!$B$42)^'CapEx &amp; Storage'!L$2</f>
        <v>68921.140058956793</v>
      </c>
      <c r="N21" s="11">
        <f>SUM(E21:I21)</f>
        <v>1450042.6015999999</v>
      </c>
    </row>
    <row r="22" spans="1:17" x14ac:dyDescent="0.2">
      <c r="A22" s="9" t="s">
        <v>169</v>
      </c>
      <c r="B22" s="41"/>
      <c r="C22" s="97"/>
      <c r="D22" s="101"/>
      <c r="E22" s="11">
        <f>E16*$C16*(1+Assumptions!$B$42)^'CapEx &amp; Storage'!E$2</f>
        <v>370000</v>
      </c>
      <c r="F22" s="11">
        <f>F16*$C16*(1+Assumptions!$B$42)^'CapEx &amp; Storage'!F$2</f>
        <v>0</v>
      </c>
      <c r="G22" s="11">
        <f>G16*$C16*(1+Assumptions!$B$42)^'CapEx &amp; Storage'!G$2</f>
        <v>52020</v>
      </c>
      <c r="H22" s="11">
        <f>H16*$C16*(1+Assumptions!$B$42)^'CapEx &amp; Storage'!H$2</f>
        <v>21224.16</v>
      </c>
      <c r="I22" s="11">
        <f>I16*$C16*(1+Assumptions!$B$42)^'CapEx &amp; Storage'!I$2</f>
        <v>20566.211039999998</v>
      </c>
      <c r="J22" s="11">
        <f>J16*$C16*(1+Assumptions!$B$42)^'CapEx &amp; Storage'!J$2</f>
        <v>23185.6968672</v>
      </c>
      <c r="K22" s="11">
        <f>K16*$C16*(1+Assumptions!$B$42)^'CapEx &amp; Storage'!K$2</f>
        <v>45046.496770559999</v>
      </c>
      <c r="L22" s="11">
        <f>L16*$C16*(1+Assumptions!$B$42)^'CapEx &amp; Storage'!L$2</f>
        <v>22973.713352985596</v>
      </c>
      <c r="N22" s="11">
        <f>SUM(E22:I22)</f>
        <v>463810.37104</v>
      </c>
    </row>
    <row r="23" spans="1:17" x14ac:dyDescent="0.2">
      <c r="A23" s="2"/>
      <c r="B23" s="41"/>
      <c r="C23" s="97"/>
      <c r="D23" s="101"/>
      <c r="E23" s="97"/>
      <c r="F23" s="97"/>
      <c r="G23" s="97"/>
      <c r="H23" s="97"/>
      <c r="I23" s="97"/>
      <c r="J23" s="97"/>
      <c r="K23" s="97"/>
      <c r="L23" s="97"/>
      <c r="M23" s="98"/>
      <c r="N23" s="27">
        <f>SUM(N18:N22)</f>
        <v>14200361.321632</v>
      </c>
    </row>
    <row r="24" spans="1:17" x14ac:dyDescent="0.2">
      <c r="A24" s="2"/>
      <c r="B24" s="41"/>
      <c r="C24" s="4"/>
      <c r="D24" s="5"/>
      <c r="E24" s="97"/>
      <c r="F24" s="97"/>
      <c r="G24" s="97"/>
      <c r="H24" s="97"/>
      <c r="I24" s="97"/>
      <c r="J24" s="97"/>
      <c r="K24" s="97"/>
      <c r="L24" s="97"/>
      <c r="M24" s="6"/>
      <c r="N24" s="6"/>
    </row>
    <row r="25" spans="1:17" x14ac:dyDescent="0.2">
      <c r="A25" s="1" t="s">
        <v>170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7" ht="26" customHeight="1" x14ac:dyDescent="0.2">
      <c r="A26" s="45" t="s">
        <v>171</v>
      </c>
      <c r="B26" s="45" t="s">
        <v>172</v>
      </c>
      <c r="C26" s="105" t="s">
        <v>173</v>
      </c>
      <c r="D26" s="105" t="s">
        <v>174</v>
      </c>
      <c r="E26" s="45" t="s">
        <v>133</v>
      </c>
      <c r="F26" s="45" t="s">
        <v>134</v>
      </c>
      <c r="G26" s="45" t="s">
        <v>135</v>
      </c>
      <c r="H26" s="45" t="s">
        <v>136</v>
      </c>
      <c r="I26" s="45" t="s">
        <v>137</v>
      </c>
      <c r="J26" s="45" t="s">
        <v>138</v>
      </c>
      <c r="K26" s="45" t="s">
        <v>139</v>
      </c>
      <c r="L26" s="45" t="s">
        <v>140</v>
      </c>
      <c r="M26" s="45" t="s">
        <v>163</v>
      </c>
      <c r="N26" s="46" t="s">
        <v>175</v>
      </c>
    </row>
    <row r="27" spans="1:17" x14ac:dyDescent="0.2">
      <c r="A27" s="2" t="s">
        <v>176</v>
      </c>
      <c r="B27" s="41" t="s">
        <v>177</v>
      </c>
      <c r="C27" s="4">
        <v>26500</v>
      </c>
      <c r="D27" s="5">
        <v>15</v>
      </c>
      <c r="E27" s="137">
        <v>4</v>
      </c>
      <c r="F27" s="137">
        <v>1</v>
      </c>
      <c r="G27" s="137"/>
      <c r="H27" s="137">
        <v>1</v>
      </c>
      <c r="I27" s="137"/>
      <c r="J27" s="137"/>
      <c r="K27" s="137"/>
      <c r="L27" s="137"/>
      <c r="M27" s="6">
        <f t="shared" ref="M27:M43" si="2">SUM(E27:L27)</f>
        <v>6</v>
      </c>
      <c r="N27" s="6">
        <f>IFERROR(E27*C27,0)+IFERROR(F27*C27*(1+Assumptions!$B$42)^1,0)+IFERROR(G27*C27*(1+Assumptions!$B$42)^2,0)+IFERROR(H27*C27*(1+Assumptions!$B$42)^3,0)+IFERROR(I27*C27*(1+Assumptions!$B$42)^4,0)</f>
        <v>161152.01199999999</v>
      </c>
      <c r="P27" s="60"/>
    </row>
    <row r="28" spans="1:17" x14ac:dyDescent="0.2">
      <c r="A28" s="2" t="s">
        <v>176</v>
      </c>
      <c r="B28" s="41" t="s">
        <v>178</v>
      </c>
      <c r="C28" s="4">
        <v>28400</v>
      </c>
      <c r="D28" s="5">
        <v>15</v>
      </c>
      <c r="E28" s="137">
        <v>3</v>
      </c>
      <c r="F28" s="137">
        <v>1</v>
      </c>
      <c r="G28" s="137"/>
      <c r="H28" s="137">
        <v>1</v>
      </c>
      <c r="I28" s="137">
        <v>1</v>
      </c>
      <c r="J28" s="137"/>
      <c r="K28" s="137"/>
      <c r="L28" s="137"/>
      <c r="M28" s="6">
        <f t="shared" si="2"/>
        <v>6</v>
      </c>
      <c r="N28" s="6">
        <f>IFERROR(E28*C28,0)+IFERROR(F28*C28*(1+Assumptions!$B$42)^1,0)+IFERROR(G28*C28*(1+Assumptions!$B$42)^2,0)+IFERROR(H28*C28*(1+Assumptions!$B$42)^3,0)+IFERROR(I28*C28*(1+Assumptions!$B$42)^4,0)</f>
        <v>175047.38054400001</v>
      </c>
      <c r="P28" s="60"/>
    </row>
    <row r="29" spans="1:17" x14ac:dyDescent="0.2">
      <c r="A29" s="2" t="s">
        <v>179</v>
      </c>
      <c r="B29" s="41" t="s">
        <v>180</v>
      </c>
      <c r="C29" s="4">
        <v>46200</v>
      </c>
      <c r="D29" s="5">
        <v>37</v>
      </c>
      <c r="E29" s="137">
        <v>5</v>
      </c>
      <c r="F29" s="137"/>
      <c r="G29" s="137"/>
      <c r="H29" s="137">
        <v>1</v>
      </c>
      <c r="I29" s="137">
        <v>2</v>
      </c>
      <c r="J29" s="137"/>
      <c r="K29" s="137"/>
      <c r="L29" s="137"/>
      <c r="M29" s="6">
        <f t="shared" si="2"/>
        <v>8</v>
      </c>
      <c r="N29" s="6">
        <f>IFERROR(E29*C29,0)+IFERROR(F29*C29*(1+Assumptions!$B$42)^1,0)+IFERROR(G29*C29*(1+Assumptions!$B$42)^2,0)+IFERROR(H29*C29*(1+Assumptions!$B$42)^3,0)+IFERROR(I29*C29*(1+Assumptions!$B$42)^4,0)</f>
        <v>380044.54118399997</v>
      </c>
      <c r="P29" s="60"/>
      <c r="Q29" s="39"/>
    </row>
    <row r="30" spans="1:17" x14ac:dyDescent="0.2">
      <c r="A30" s="2" t="s">
        <v>179</v>
      </c>
      <c r="B30" s="41" t="s">
        <v>181</v>
      </c>
      <c r="C30" s="4">
        <v>49700</v>
      </c>
      <c r="D30" s="5">
        <v>37</v>
      </c>
      <c r="E30" s="137">
        <v>6</v>
      </c>
      <c r="F30" s="137"/>
      <c r="G30" s="137">
        <v>1</v>
      </c>
      <c r="H30" s="137">
        <v>1</v>
      </c>
      <c r="I30" s="137"/>
      <c r="J30" s="137"/>
      <c r="K30" s="137"/>
      <c r="L30" s="137"/>
      <c r="M30" s="6">
        <f t="shared" si="2"/>
        <v>8</v>
      </c>
      <c r="N30" s="6">
        <f>IFERROR(E30*C30,0)+IFERROR(F30*C30*(1+Assumptions!$B$42)^1,0)+IFERROR(G30*C30*(1+Assumptions!$B$42)^2,0)+IFERROR(H30*C30*(1+Assumptions!$B$42)^3,0)+IFERROR(I30*C30*(1+Assumptions!$B$42)^4,0)</f>
        <v>402649.91759999999</v>
      </c>
      <c r="P30" s="60"/>
    </row>
    <row r="31" spans="1:17" x14ac:dyDescent="0.2">
      <c r="A31" s="2" t="s">
        <v>182</v>
      </c>
      <c r="B31" s="41" t="s">
        <v>183</v>
      </c>
      <c r="C31" s="4">
        <v>52700</v>
      </c>
      <c r="D31" s="5">
        <v>37</v>
      </c>
      <c r="E31" s="137">
        <v>5</v>
      </c>
      <c r="F31" s="137"/>
      <c r="G31" s="137">
        <v>1</v>
      </c>
      <c r="H31" s="137">
        <v>1</v>
      </c>
      <c r="I31" s="137">
        <v>2</v>
      </c>
      <c r="J31" s="137"/>
      <c r="K31" s="137"/>
      <c r="L31" s="137"/>
      <c r="M31" s="6">
        <f t="shared" si="2"/>
        <v>9</v>
      </c>
      <c r="N31" s="6">
        <f>IFERROR(E31*C31,0)+IFERROR(F31*C31*(1+Assumptions!$B$42)^1,0)+IFERROR(G31*C31*(1+Assumptions!$B$42)^2,0)+IFERROR(H31*C31*(1+Assumptions!$B$42)^3,0)+IFERROR(I31*C31*(1+Assumptions!$B$42)^4,0)</f>
        <v>488343.09126399999</v>
      </c>
      <c r="P31" s="60"/>
      <c r="Q31" s="39"/>
    </row>
    <row r="32" spans="1:17" x14ac:dyDescent="0.2">
      <c r="A32" s="2" t="s">
        <v>182</v>
      </c>
      <c r="B32" s="41" t="s">
        <v>184</v>
      </c>
      <c r="C32" s="4">
        <v>109300</v>
      </c>
      <c r="D32" s="5">
        <v>37</v>
      </c>
      <c r="E32" s="137">
        <v>5</v>
      </c>
      <c r="F32" s="137"/>
      <c r="G32" s="137"/>
      <c r="H32" s="137">
        <v>1</v>
      </c>
      <c r="I32" s="137">
        <v>1</v>
      </c>
      <c r="J32" s="137"/>
      <c r="K32" s="137"/>
      <c r="L32" s="137"/>
      <c r="M32" s="6">
        <f t="shared" si="2"/>
        <v>7</v>
      </c>
      <c r="N32" s="6">
        <f>IFERROR(E32*C32,0)+IFERROR(F32*C32*(1+Assumptions!$B$42)^1,0)+IFERROR(G32*C32*(1+Assumptions!$B$42)^2,0)+IFERROR(H32*C32*(1+Assumptions!$B$42)^3,0)+IFERROR(I32*C32*(1+Assumptions!$B$42)^4,0)</f>
        <v>780799.86948799994</v>
      </c>
      <c r="P32" s="60"/>
    </row>
    <row r="33" spans="1:17" x14ac:dyDescent="0.2">
      <c r="A33" s="2" t="s">
        <v>185</v>
      </c>
      <c r="B33" s="41" t="s">
        <v>186</v>
      </c>
      <c r="C33" s="4">
        <v>28700</v>
      </c>
      <c r="D33" s="5">
        <v>15</v>
      </c>
      <c r="E33" s="137">
        <v>4</v>
      </c>
      <c r="F33" s="137"/>
      <c r="G33" s="137">
        <v>1</v>
      </c>
      <c r="H33" s="137"/>
      <c r="I33" s="137"/>
      <c r="J33" s="137"/>
      <c r="K33" s="137"/>
      <c r="L33" s="137"/>
      <c r="M33" s="6">
        <f t="shared" si="2"/>
        <v>5</v>
      </c>
      <c r="N33" s="6">
        <f>IFERROR(E33*C33,0)+IFERROR(F33*C33*(1+Assumptions!$B$42)^1,0)+IFERROR(G33*C33*(1+Assumptions!$B$42)^2,0)+IFERROR(H33*C33*(1+Assumptions!$B$42)^3,0)+IFERROR(I33*C33*(1+Assumptions!$B$42)^4,0)</f>
        <v>144659.48000000001</v>
      </c>
      <c r="P33" s="60"/>
    </row>
    <row r="34" spans="1:17" x14ac:dyDescent="0.2">
      <c r="A34" s="2" t="s">
        <v>187</v>
      </c>
      <c r="B34" s="41" t="s">
        <v>188</v>
      </c>
      <c r="C34" s="4">
        <v>56400</v>
      </c>
      <c r="D34" s="5">
        <v>49</v>
      </c>
      <c r="E34" s="137">
        <v>4</v>
      </c>
      <c r="F34" s="137"/>
      <c r="G34" s="137">
        <v>1</v>
      </c>
      <c r="H34" s="137"/>
      <c r="I34" s="137"/>
      <c r="J34" s="137"/>
      <c r="K34" s="137"/>
      <c r="L34" s="137"/>
      <c r="M34" s="6">
        <f t="shared" si="2"/>
        <v>5</v>
      </c>
      <c r="N34" s="6">
        <f>IFERROR(E34*C34,0)+IFERROR(F34*C34*(1+Assumptions!$B$42)^1,0)+IFERROR(G34*C34*(1+Assumptions!$B$42)^2,0)+IFERROR(H34*C34*(1+Assumptions!$B$42)^3,0)+IFERROR(I34*C34*(1+Assumptions!$B$42)^4,0)</f>
        <v>284278.56</v>
      </c>
      <c r="P34" s="60"/>
    </row>
    <row r="35" spans="1:17" ht="26" customHeight="1" x14ac:dyDescent="0.2">
      <c r="A35" s="2" t="s">
        <v>189</v>
      </c>
      <c r="B35" s="41" t="s">
        <v>190</v>
      </c>
      <c r="C35" s="4">
        <v>153900</v>
      </c>
      <c r="D35" s="5">
        <v>49</v>
      </c>
      <c r="E35" s="137">
        <v>5</v>
      </c>
      <c r="F35" s="137">
        <v>1</v>
      </c>
      <c r="G35" s="137"/>
      <c r="H35" s="137"/>
      <c r="I35" s="137"/>
      <c r="J35" s="137"/>
      <c r="K35" s="137"/>
      <c r="L35" s="137"/>
      <c r="M35" s="6">
        <f t="shared" si="2"/>
        <v>6</v>
      </c>
      <c r="N35" s="6">
        <f>IFERROR(E35*C35,0)+IFERROR(F35*C35*(1+Assumptions!$B$42)^1,0)+IFERROR(G35*C35*(1+Assumptions!$B$42)^2,0)+IFERROR(H35*C35*(1+Assumptions!$B$42)^3,0)+IFERROR(I35*C35*(1+Assumptions!$B$42)^4,0)</f>
        <v>926478</v>
      </c>
      <c r="P35" s="60"/>
    </row>
    <row r="36" spans="1:17" x14ac:dyDescent="0.2">
      <c r="A36" s="2" t="s">
        <v>191</v>
      </c>
      <c r="B36" s="41" t="s">
        <v>192</v>
      </c>
      <c r="C36" s="4">
        <v>164100</v>
      </c>
      <c r="D36" s="5">
        <v>49</v>
      </c>
      <c r="E36" s="137">
        <v>5</v>
      </c>
      <c r="F36" s="137">
        <v>1</v>
      </c>
      <c r="G36" s="137"/>
      <c r="H36" s="137"/>
      <c r="I36" s="137"/>
      <c r="J36" s="137"/>
      <c r="K36" s="137"/>
      <c r="L36" s="137"/>
      <c r="M36" s="6">
        <f t="shared" si="2"/>
        <v>6</v>
      </c>
      <c r="N36" s="6">
        <f>IFERROR(E36*C36,0)+IFERROR(F36*C36*(1+Assumptions!$B$42)^1,0)+IFERROR(G36*C36*(1+Assumptions!$B$42)^2,0)+IFERROR(H36*C36*(1+Assumptions!$B$42)^3,0)+IFERROR(I36*C36*(1+Assumptions!$B$42)^4,0)</f>
        <v>987882</v>
      </c>
      <c r="P36" s="60"/>
    </row>
    <row r="37" spans="1:17" ht="26" customHeight="1" x14ac:dyDescent="0.2">
      <c r="A37" s="2" t="s">
        <v>193</v>
      </c>
      <c r="B37" s="41" t="s">
        <v>194</v>
      </c>
      <c r="C37" s="4">
        <v>160000</v>
      </c>
      <c r="D37" s="5">
        <v>49</v>
      </c>
      <c r="E37" s="137">
        <v>5</v>
      </c>
      <c r="F37" s="137">
        <v>1</v>
      </c>
      <c r="G37" s="137">
        <v>2</v>
      </c>
      <c r="H37" s="137"/>
      <c r="I37" s="137"/>
      <c r="J37" s="137"/>
      <c r="K37" s="137"/>
      <c r="L37" s="137"/>
      <c r="M37" s="6">
        <f t="shared" si="2"/>
        <v>8</v>
      </c>
      <c r="N37" s="6">
        <f>IFERROR(E37*C37,0)+IFERROR(F37*C37*(1+Assumptions!$B$42)^1,0)+IFERROR(G37*C37*(1+Assumptions!$B$42)^2,0)+IFERROR(H37*C37*(1+Assumptions!$B$42)^3,0)+IFERROR(I37*C37*(1+Assumptions!$B$42)^4,0)</f>
        <v>1296128</v>
      </c>
      <c r="P37" s="60"/>
    </row>
    <row r="38" spans="1:17" ht="26" customHeight="1" x14ac:dyDescent="0.2">
      <c r="A38" s="2" t="s">
        <v>195</v>
      </c>
      <c r="B38" s="41" t="s">
        <v>190</v>
      </c>
      <c r="C38" s="4">
        <v>90100</v>
      </c>
      <c r="D38" s="5">
        <v>24</v>
      </c>
      <c r="E38" s="137">
        <v>5</v>
      </c>
      <c r="F38" s="137"/>
      <c r="G38" s="137">
        <v>1</v>
      </c>
      <c r="H38" s="137"/>
      <c r="I38" s="137"/>
      <c r="J38" s="137"/>
      <c r="K38" s="137"/>
      <c r="L38" s="137"/>
      <c r="M38" s="6">
        <f t="shared" si="2"/>
        <v>6</v>
      </c>
      <c r="N38" s="6">
        <f>IFERROR(E38*C38,0)+IFERROR(F38*C38*(1+Assumptions!$B$42)^1,0)+IFERROR(G38*C38*(1+Assumptions!$B$42)^2,0)+IFERROR(H38*C38*(1+Assumptions!$B$42)^3,0)+IFERROR(I38*C38*(1+Assumptions!$B$42)^4,0)</f>
        <v>544240.04</v>
      </c>
      <c r="P38" s="60"/>
    </row>
    <row r="39" spans="1:17" x14ac:dyDescent="0.2">
      <c r="A39" s="2" t="s">
        <v>196</v>
      </c>
      <c r="B39" s="41" t="s">
        <v>192</v>
      </c>
      <c r="C39" s="4">
        <v>83800</v>
      </c>
      <c r="D39" s="5">
        <v>18</v>
      </c>
      <c r="E39" s="137">
        <v>5</v>
      </c>
      <c r="F39" s="137"/>
      <c r="G39" s="137">
        <v>1</v>
      </c>
      <c r="H39" s="137"/>
      <c r="I39" s="137"/>
      <c r="J39" s="137"/>
      <c r="K39" s="137"/>
      <c r="L39" s="137"/>
      <c r="M39" s="6">
        <f t="shared" si="2"/>
        <v>6</v>
      </c>
      <c r="N39" s="6">
        <f>IFERROR(E39*C39,0)+IFERROR(F39*C39*(1+Assumptions!$B$42)^1,0)+IFERROR(G39*C39*(1+Assumptions!$B$42)^2,0)+IFERROR(H39*C39*(1+Assumptions!$B$42)^3,0)+IFERROR(I39*C39*(1+Assumptions!$B$42)^4,0)</f>
        <v>506185.52</v>
      </c>
      <c r="P39" s="60"/>
      <c r="Q39" s="61"/>
    </row>
    <row r="40" spans="1:17" ht="26" customHeight="1" x14ac:dyDescent="0.2">
      <c r="A40" s="2" t="s">
        <v>197</v>
      </c>
      <c r="B40" s="41" t="s">
        <v>198</v>
      </c>
      <c r="C40" s="4">
        <v>82600</v>
      </c>
      <c r="D40" s="5">
        <v>18</v>
      </c>
      <c r="E40" s="137">
        <v>2</v>
      </c>
      <c r="F40" s="137"/>
      <c r="G40" s="137"/>
      <c r="H40" s="137">
        <v>1</v>
      </c>
      <c r="I40" s="137">
        <v>1</v>
      </c>
      <c r="J40" s="137"/>
      <c r="K40" s="137"/>
      <c r="L40" s="137"/>
      <c r="M40" s="6">
        <f t="shared" si="2"/>
        <v>4</v>
      </c>
      <c r="N40" s="6">
        <f>IFERROR(E40*C40,0)+IFERROR(F40*C40*(1+Assumptions!$B$42)^1,0)+IFERROR(G40*C40*(1+Assumptions!$B$42)^2,0)+IFERROR(H40*C40*(1+Assumptions!$B$42)^3,0)+IFERROR(I40*C40*(1+Assumptions!$B$42)^4,0)</f>
        <v>342264.67721600004</v>
      </c>
      <c r="P40" s="60"/>
    </row>
    <row r="41" spans="1:17" x14ac:dyDescent="0.2">
      <c r="A41" s="2" t="s">
        <v>199</v>
      </c>
      <c r="B41" s="41" t="s">
        <v>200</v>
      </c>
      <c r="C41" s="4">
        <v>26800</v>
      </c>
      <c r="D41" s="5">
        <v>7</v>
      </c>
      <c r="E41" s="137">
        <v>4</v>
      </c>
      <c r="F41" s="137">
        <v>1</v>
      </c>
      <c r="G41" s="137"/>
      <c r="H41" s="137"/>
      <c r="I41" s="137">
        <v>1</v>
      </c>
      <c r="J41" s="137"/>
      <c r="K41" s="137"/>
      <c r="L41" s="137"/>
      <c r="M41" s="6">
        <f t="shared" si="2"/>
        <v>6</v>
      </c>
      <c r="N41" s="6">
        <f>IFERROR(E41*C41,0)+IFERROR(F41*C41*(1+Assumptions!$B$42)^1,0)+IFERROR(G41*C41*(1+Assumptions!$B$42)^2,0)+IFERROR(H41*C41*(1+Assumptions!$B$42)^3,0)+IFERROR(I41*C41*(1+Assumptions!$B$42)^4,0)</f>
        <v>163545.18188799999</v>
      </c>
      <c r="P41" s="60"/>
      <c r="Q41" s="62"/>
    </row>
    <row r="42" spans="1:17" x14ac:dyDescent="0.2">
      <c r="A42" s="2" t="s">
        <v>201</v>
      </c>
      <c r="B42" s="41" t="s">
        <v>202</v>
      </c>
      <c r="C42" s="4">
        <v>189600</v>
      </c>
      <c r="D42" s="5">
        <v>49</v>
      </c>
      <c r="E42" s="137">
        <v>4</v>
      </c>
      <c r="F42" s="137">
        <v>1</v>
      </c>
      <c r="G42" s="137"/>
      <c r="H42" s="137">
        <v>1</v>
      </c>
      <c r="I42" s="137">
        <v>1</v>
      </c>
      <c r="J42" s="137"/>
      <c r="K42" s="137"/>
      <c r="L42" s="137"/>
      <c r="M42" s="6">
        <f t="shared" si="2"/>
        <v>7</v>
      </c>
      <c r="N42" s="6">
        <f>IFERROR(E42*C42,0)+IFERROR(F42*C42*(1+Assumptions!$B$42)^1,0)+IFERROR(G42*C42*(1+Assumptions!$B$42)^2,0)+IFERROR(H42*C42*(1+Assumptions!$B$42)^3,0)+IFERROR(I42*C42*(1+Assumptions!$B$42)^4,0)</f>
        <v>1358226.1743359999</v>
      </c>
      <c r="P42" s="60"/>
    </row>
    <row r="43" spans="1:17" ht="26" customHeight="1" x14ac:dyDescent="0.2">
      <c r="A43" s="2" t="s">
        <v>201</v>
      </c>
      <c r="B43" s="41" t="s">
        <v>203</v>
      </c>
      <c r="C43" s="4">
        <v>248500</v>
      </c>
      <c r="D43" s="5">
        <v>49</v>
      </c>
      <c r="E43" s="137">
        <v>2</v>
      </c>
      <c r="F43" s="137"/>
      <c r="G43" s="137"/>
      <c r="H43" s="137">
        <v>1</v>
      </c>
      <c r="I43" s="137">
        <v>1</v>
      </c>
      <c r="J43" s="137"/>
      <c r="K43" s="137"/>
      <c r="L43" s="137"/>
      <c r="M43" s="6">
        <f t="shared" si="2"/>
        <v>4</v>
      </c>
      <c r="N43" s="6">
        <f>IFERROR(E43*C43,0)+IFERROR(F43*C43*(1+Assumptions!$B$42)^1,0)+IFERROR(G43*C43*(1+Assumptions!$B$42)^2,0)+IFERROR(H43*C43*(1+Assumptions!$B$42)^3,0)+IFERROR(I43*C43*(1+Assumptions!$B$42)^4,0)</f>
        <v>1029694.5797599999</v>
      </c>
      <c r="P43" s="60"/>
    </row>
    <row r="44" spans="1:17" x14ac:dyDescent="0.2">
      <c r="A44" s="8" t="s">
        <v>204</v>
      </c>
      <c r="B44" s="8"/>
      <c r="C44" s="8"/>
      <c r="D44" s="8"/>
      <c r="E44" s="138"/>
      <c r="F44" s="138"/>
      <c r="G44" s="138"/>
      <c r="H44" s="138"/>
      <c r="I44" s="138"/>
      <c r="J44" s="138"/>
      <c r="K44" s="138"/>
      <c r="L44" s="138"/>
      <c r="M44" s="8"/>
      <c r="N44" s="8"/>
    </row>
    <row r="45" spans="1:17" x14ac:dyDescent="0.2">
      <c r="A45" s="9" t="s">
        <v>205</v>
      </c>
      <c r="B45" s="10" t="s">
        <v>206</v>
      </c>
      <c r="E45" s="139">
        <f>SUM(E27:E43)</f>
        <v>73</v>
      </c>
      <c r="F45" s="139">
        <f t="shared" ref="F45:L45" si="3">E45+SUM(F27:F43)</f>
        <v>80</v>
      </c>
      <c r="G45" s="139">
        <f t="shared" si="3"/>
        <v>88</v>
      </c>
      <c r="H45" s="139">
        <f t="shared" si="3"/>
        <v>97</v>
      </c>
      <c r="I45" s="139">
        <f t="shared" si="3"/>
        <v>107</v>
      </c>
      <c r="J45" s="139">
        <f t="shared" si="3"/>
        <v>107</v>
      </c>
      <c r="K45" s="139">
        <f t="shared" si="3"/>
        <v>107</v>
      </c>
      <c r="L45" s="139">
        <f t="shared" si="3"/>
        <v>107</v>
      </c>
      <c r="M45" s="11">
        <f>SUM(M27:M43)</f>
        <v>107</v>
      </c>
      <c r="N45" s="27">
        <f>SUM(N27:N43)</f>
        <v>9971619.0252799988</v>
      </c>
    </row>
    <row r="46" spans="1:17" x14ac:dyDescent="0.2">
      <c r="A46" s="14" t="s">
        <v>207</v>
      </c>
      <c r="B46" s="10"/>
      <c r="E46" s="140">
        <f>E5</f>
        <v>80</v>
      </c>
      <c r="F46" s="140">
        <f t="shared" ref="F46:L46" si="4">E46+F12</f>
        <v>83</v>
      </c>
      <c r="G46" s="140">
        <f t="shared" si="4"/>
        <v>90</v>
      </c>
      <c r="H46" s="140">
        <f t="shared" si="4"/>
        <v>97</v>
      </c>
      <c r="I46" s="140">
        <f t="shared" si="4"/>
        <v>100</v>
      </c>
      <c r="J46" s="140">
        <f t="shared" si="4"/>
        <v>109</v>
      </c>
      <c r="K46" s="140">
        <f t="shared" si="4"/>
        <v>120</v>
      </c>
      <c r="L46" s="140">
        <f t="shared" si="4"/>
        <v>127</v>
      </c>
      <c r="M46" s="11"/>
      <c r="N46" s="27"/>
    </row>
    <row r="47" spans="1:17" x14ac:dyDescent="0.2">
      <c r="A47" s="9" t="s">
        <v>208</v>
      </c>
      <c r="B47" s="10" t="s">
        <v>209</v>
      </c>
      <c r="E47" s="139">
        <f t="shared" ref="E47:L47" si="5">SUM(E27:E43)</f>
        <v>73</v>
      </c>
      <c r="F47" s="139">
        <f t="shared" si="5"/>
        <v>7</v>
      </c>
      <c r="G47" s="139">
        <f t="shared" si="5"/>
        <v>8</v>
      </c>
      <c r="H47" s="139">
        <f t="shared" si="5"/>
        <v>9</v>
      </c>
      <c r="I47" s="139">
        <f t="shared" si="5"/>
        <v>10</v>
      </c>
      <c r="J47" s="139">
        <f t="shared" si="5"/>
        <v>0</v>
      </c>
      <c r="K47" s="139">
        <f t="shared" si="5"/>
        <v>0</v>
      </c>
      <c r="L47" s="139">
        <f t="shared" si="5"/>
        <v>0</v>
      </c>
      <c r="M47" s="11"/>
      <c r="N47" s="27"/>
    </row>
    <row r="48" spans="1:17" x14ac:dyDescent="0.2">
      <c r="A48" s="9" t="s">
        <v>210</v>
      </c>
      <c r="B48" s="10" t="s">
        <v>211</v>
      </c>
      <c r="E48" s="11">
        <f t="array" ref="E48">SUMPRODUCT($C$27:$C$43*(1+Assumptions!$B$42)^0,E27:E43)</f>
        <v>6658100</v>
      </c>
      <c r="F48" s="11">
        <f t="array" ref="F48">SUMPRODUCT($C$27:$C$43*(1+Assumptions!$B$42)^1,F27:F43)</f>
        <v>764286</v>
      </c>
      <c r="G48" s="11">
        <f t="array" ref="G48">SUMPRODUCT($C$27:$C$43*(1+Assumptions!$B$42)^2,G27:G43)</f>
        <v>708928.56</v>
      </c>
      <c r="H48" s="11">
        <f t="array" ref="H48">SUMPRODUCT($C$27:$C$43*(1+Assumptions!$B$42)^3,H27:H43)</f>
        <v>884516.8679999999</v>
      </c>
      <c r="I48" s="11">
        <f t="array" ref="I48">SUMPRODUCT($C$27:$C$43*(1+Assumptions!$B$42)^4,I27:I43)</f>
        <v>955787.59727999987</v>
      </c>
      <c r="J48" s="11">
        <f t="array" ref="J48">SUMPRODUCT($C$27:$C$43*(1+Assumptions!$B$42)^4,J27:J43)</f>
        <v>0</v>
      </c>
      <c r="K48" s="11">
        <f t="array" ref="K48">SUMPRODUCT($C$27:$C$43*(1+Assumptions!$B$42)^4,K27:K43)</f>
        <v>0</v>
      </c>
      <c r="L48" s="11">
        <f t="array" ref="L48">SUMPRODUCT($C$27:$C$43*(1+Assumptions!$B$42)^4,L27:L43)</f>
        <v>0</v>
      </c>
      <c r="M48" s="11"/>
      <c r="N48" s="27"/>
      <c r="P48" s="62"/>
    </row>
    <row r="51" spans="1:14" x14ac:dyDescent="0.2">
      <c r="A51" s="15" t="s">
        <v>212</v>
      </c>
      <c r="B51" s="16"/>
      <c r="C51" s="16"/>
      <c r="D51" s="16"/>
      <c r="E51" s="17">
        <f t="shared" ref="E51:L51" si="6">SUM(E18:E22)</f>
        <v>9942100</v>
      </c>
      <c r="F51" s="17">
        <f t="shared" si="6"/>
        <v>899334</v>
      </c>
      <c r="G51" s="17">
        <f t="shared" si="6"/>
        <v>1040608.08</v>
      </c>
      <c r="H51" s="17">
        <f t="shared" si="6"/>
        <v>1230258.4343999999</v>
      </c>
      <c r="I51" s="17">
        <f t="shared" si="6"/>
        <v>1088060.8072319997</v>
      </c>
      <c r="J51" s="17">
        <f t="shared" si="6"/>
        <v>481600.04635584005</v>
      </c>
      <c r="K51" s="17">
        <f t="shared" si="6"/>
        <v>564883.06950282247</v>
      </c>
      <c r="L51" s="17">
        <f t="shared" si="6"/>
        <v>383890.75012838939</v>
      </c>
      <c r="M51" s="16"/>
      <c r="N51" s="17">
        <f>SUM(N18:N22)</f>
        <v>14200361.321632</v>
      </c>
    </row>
    <row r="52" spans="1:14" x14ac:dyDescent="0.2">
      <c r="A52" s="18" t="s">
        <v>213</v>
      </c>
      <c r="N52" s="27">
        <f>N51</f>
        <v>14200361.321632</v>
      </c>
    </row>
    <row r="53" spans="1:14" x14ac:dyDescent="0.2">
      <c r="A53" s="18"/>
      <c r="E53" s="29"/>
      <c r="N53" s="27"/>
    </row>
    <row r="55" spans="1:14" x14ac:dyDescent="0.2">
      <c r="A55" s="1" t="s">
        <v>214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</row>
    <row r="56" spans="1:14" x14ac:dyDescent="0.2">
      <c r="A56" s="9" t="s">
        <v>215</v>
      </c>
      <c r="B56" s="3" t="s">
        <v>216</v>
      </c>
      <c r="D56" s="5"/>
      <c r="E56" s="5">
        <v>2</v>
      </c>
      <c r="F56" s="5">
        <f t="shared" ref="F56:L56" si="7">E56</f>
        <v>2</v>
      </c>
      <c r="G56" s="5">
        <f t="shared" si="7"/>
        <v>2</v>
      </c>
      <c r="H56" s="5">
        <f t="shared" si="7"/>
        <v>2</v>
      </c>
      <c r="I56" s="5">
        <f t="shared" si="7"/>
        <v>2</v>
      </c>
      <c r="J56" s="5">
        <f t="shared" si="7"/>
        <v>2</v>
      </c>
      <c r="K56" s="5">
        <f t="shared" si="7"/>
        <v>2</v>
      </c>
      <c r="L56" s="5">
        <f t="shared" si="7"/>
        <v>2</v>
      </c>
    </row>
    <row r="57" spans="1:14" x14ac:dyDescent="0.2">
      <c r="A57" s="9" t="s">
        <v>217</v>
      </c>
      <c r="D57" s="4"/>
      <c r="E57" s="4">
        <v>20</v>
      </c>
      <c r="F57" s="4">
        <v>20</v>
      </c>
      <c r="G57" s="4">
        <v>20</v>
      </c>
      <c r="H57" s="4">
        <v>20</v>
      </c>
      <c r="I57" s="4">
        <v>20</v>
      </c>
      <c r="J57" s="4">
        <v>21</v>
      </c>
      <c r="K57" s="4">
        <v>22</v>
      </c>
      <c r="L57" s="4">
        <v>23</v>
      </c>
      <c r="N57" s="4"/>
    </row>
    <row r="58" spans="1:14" x14ac:dyDescent="0.2">
      <c r="A58" s="9" t="s">
        <v>74</v>
      </c>
      <c r="D58" s="20"/>
      <c r="E58" s="20">
        <v>0.1</v>
      </c>
      <c r="F58" s="20">
        <v>0.1</v>
      </c>
      <c r="G58" s="20">
        <v>0.1</v>
      </c>
      <c r="H58" s="20">
        <v>0.1</v>
      </c>
      <c r="I58" s="20">
        <v>0.1</v>
      </c>
      <c r="J58" s="20">
        <v>1.1000000000000001</v>
      </c>
      <c r="K58" s="20">
        <v>2.1</v>
      </c>
      <c r="L58" s="20">
        <v>3.1</v>
      </c>
      <c r="N58" s="30"/>
    </row>
    <row r="59" spans="1:14" x14ac:dyDescent="0.2">
      <c r="A59" s="14" t="s">
        <v>218</v>
      </c>
      <c r="D59" s="20"/>
      <c r="E59" s="52">
        <f>SUMPRODUCT($D$27:$D$43,E27:E43)*(1+E58)</f>
        <v>2685.1000000000004</v>
      </c>
      <c r="F59" s="52">
        <f t="shared" ref="F59:L59" si="8">SUMPRODUCT($D$27:$D$43,F27:F43)*(1+F58)+E59</f>
        <v>2941.4000000000005</v>
      </c>
      <c r="G59" s="52">
        <f t="shared" si="8"/>
        <v>3247.2000000000007</v>
      </c>
      <c r="H59" s="52">
        <f t="shared" si="8"/>
        <v>3570.6000000000008</v>
      </c>
      <c r="I59" s="52">
        <f t="shared" si="8"/>
        <v>3925.900000000001</v>
      </c>
      <c r="J59" s="52">
        <f t="shared" si="8"/>
        <v>3925.900000000001</v>
      </c>
      <c r="K59" s="52">
        <f t="shared" si="8"/>
        <v>3925.900000000001</v>
      </c>
      <c r="L59" s="52">
        <f t="shared" si="8"/>
        <v>3925.900000000001</v>
      </c>
      <c r="N59" s="30"/>
    </row>
    <row r="60" spans="1:14" x14ac:dyDescent="0.2">
      <c r="A60" s="14" t="s">
        <v>219</v>
      </c>
      <c r="D60" s="7"/>
      <c r="E60" s="31">
        <f>SUMPRODUCT($D$27:$D$43,E27:E43)*(1+E58)*10.76391</f>
        <v>28902.174741000003</v>
      </c>
      <c r="F60" s="31">
        <f t="shared" ref="F60:L60" si="9">SUMPRODUCT($D$27:$D$43,F27:F43)*(1+F58)*10.76391+E60</f>
        <v>31660.964874000001</v>
      </c>
      <c r="G60" s="31">
        <f t="shared" si="9"/>
        <v>34952.568552000004</v>
      </c>
      <c r="H60" s="31">
        <f t="shared" si="9"/>
        <v>38433.617046000007</v>
      </c>
      <c r="I60" s="31">
        <f t="shared" si="9"/>
        <v>42258.034269000003</v>
      </c>
      <c r="J60" s="31">
        <f t="shared" si="9"/>
        <v>42258.034269000003</v>
      </c>
      <c r="K60" s="31">
        <f t="shared" si="9"/>
        <v>42258.034269000003</v>
      </c>
      <c r="L60" s="31">
        <f t="shared" si="9"/>
        <v>42258.034269000003</v>
      </c>
      <c r="N60" s="30"/>
    </row>
    <row r="61" spans="1:14" x14ac:dyDescent="0.2">
      <c r="A61" s="14" t="s">
        <v>220</v>
      </c>
      <c r="B61" s="3" t="s">
        <v>221</v>
      </c>
      <c r="D61" s="7"/>
      <c r="E61" s="31">
        <f>SUM($E$6:E6)*4.8*10.76391</f>
        <v>1343.3359679999999</v>
      </c>
      <c r="F61" s="31">
        <f>SUM($E$6:F6)*4.8*10.76391</f>
        <v>2790.0054719999998</v>
      </c>
      <c r="G61" s="31">
        <f>SUM($E$6:G6)*4.8*10.76391</f>
        <v>4340.0085119999994</v>
      </c>
      <c r="H61" s="31">
        <f>SUM($E$6:H6)*4.8*10.76391</f>
        <v>6096.6786239999992</v>
      </c>
      <c r="I61" s="31">
        <f>SUM($E$6:I6)*4.8*10.76391</f>
        <v>7853.3487359999999</v>
      </c>
      <c r="J61" s="31">
        <f>SUM($E$6:J6)*4.8*10.76391</f>
        <v>9816.6859199999999</v>
      </c>
      <c r="K61" s="31">
        <f>SUM($E$6:K6)*4.8*10.76391</f>
        <v>11986.690175999998</v>
      </c>
      <c r="L61" s="31">
        <f>SUM($E$6:L6)*4.8*10.76391</f>
        <v>14363.361503999997</v>
      </c>
      <c r="N61" s="30"/>
    </row>
    <row r="62" spans="1:14" x14ac:dyDescent="0.2">
      <c r="A62" s="9" t="s">
        <v>222</v>
      </c>
      <c r="D62" s="28"/>
      <c r="E62" s="32">
        <f t="shared" ref="E62:L62" si="10">E60/E56+E61</f>
        <v>15794.423338500001</v>
      </c>
      <c r="F62" s="32">
        <f t="shared" si="10"/>
        <v>18620.487908999999</v>
      </c>
      <c r="G62" s="32">
        <f t="shared" si="10"/>
        <v>21816.292788000002</v>
      </c>
      <c r="H62" s="32">
        <f t="shared" si="10"/>
        <v>25313.487147000003</v>
      </c>
      <c r="I62" s="32">
        <f t="shared" si="10"/>
        <v>28982.365870500002</v>
      </c>
      <c r="J62" s="32">
        <f t="shared" si="10"/>
        <v>30945.703054500002</v>
      </c>
      <c r="K62" s="32">
        <f t="shared" si="10"/>
        <v>33115.707310500002</v>
      </c>
      <c r="L62" s="32">
        <f t="shared" si="10"/>
        <v>35492.378638499998</v>
      </c>
      <c r="N62" s="30"/>
    </row>
    <row r="63" spans="1:14" x14ac:dyDescent="0.2">
      <c r="A63" s="9" t="s">
        <v>223</v>
      </c>
      <c r="D63" s="27"/>
      <c r="E63" s="27">
        <f t="shared" ref="E63:L63" si="11">E62*E57</f>
        <v>315888.46677</v>
      </c>
      <c r="F63" s="27">
        <f t="shared" si="11"/>
        <v>372409.75818</v>
      </c>
      <c r="G63" s="27">
        <f t="shared" si="11"/>
        <v>436325.85576000006</v>
      </c>
      <c r="H63" s="27">
        <f t="shared" si="11"/>
        <v>506269.74294000008</v>
      </c>
      <c r="I63" s="27">
        <f t="shared" si="11"/>
        <v>579647.31741000002</v>
      </c>
      <c r="J63" s="27">
        <f t="shared" si="11"/>
        <v>649859.76414450002</v>
      </c>
      <c r="K63" s="27">
        <f t="shared" si="11"/>
        <v>728545.5608310001</v>
      </c>
      <c r="L63" s="27">
        <f t="shared" si="11"/>
        <v>816324.70868549997</v>
      </c>
      <c r="N63" s="27"/>
    </row>
    <row r="65" spans="1:3" x14ac:dyDescent="0.2">
      <c r="A65" s="8" t="s">
        <v>224</v>
      </c>
      <c r="B65" s="33" t="s">
        <v>225</v>
      </c>
      <c r="C65" s="33" t="s">
        <v>226</v>
      </c>
    </row>
    <row r="66" spans="1:3" x14ac:dyDescent="0.2">
      <c r="A66" s="12" t="s">
        <v>227</v>
      </c>
      <c r="B66" s="31">
        <f>E60</f>
        <v>28902.174741000003</v>
      </c>
      <c r="C66" s="6">
        <f>B66*$E$57</f>
        <v>578043.49482000002</v>
      </c>
    </row>
    <row r="67" spans="1:3" x14ac:dyDescent="0.2">
      <c r="A67" s="12" t="s">
        <v>228</v>
      </c>
      <c r="B67" s="31">
        <f>B66/2</f>
        <v>14451.087370500001</v>
      </c>
      <c r="C67" s="6">
        <f>B67*$E$57</f>
        <v>289021.74741000001</v>
      </c>
    </row>
    <row r="68" spans="1:3" x14ac:dyDescent="0.2">
      <c r="A68" s="12" t="s">
        <v>229</v>
      </c>
      <c r="B68" s="31">
        <f>B66/3</f>
        <v>9634.0582470000008</v>
      </c>
      <c r="C68" s="6">
        <f>B68*$E$57</f>
        <v>192681.16494000002</v>
      </c>
    </row>
  </sheetData>
  <pageMargins left="0.75" right="0.75" top="1" bottom="1" header="0.511811023622047" footer="0.511811023622047"/>
  <pageSetup paperSize="9" orientation="portrait" horizontalDpi="300" verticalDpi="300"/>
  <ignoredErrors>
    <ignoredError sqref="M27:M4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:HH75"/>
  <sheetViews>
    <sheetView showGridLines="0" zoomScaleNormal="100" workbookViewId="0"/>
  </sheetViews>
  <sheetFormatPr baseColWidth="10" defaultColWidth="8.6640625" defaultRowHeight="15" x14ac:dyDescent="0.2"/>
  <cols>
    <col min="1" max="1" width="21.83203125" customWidth="1"/>
    <col min="2" max="3" width="6.6640625" bestFit="1" customWidth="1"/>
    <col min="4" max="4" width="6.5" customWidth="1"/>
    <col min="5" max="5" width="5.6640625" bestFit="1" customWidth="1"/>
    <col min="6" max="35" width="4" bestFit="1" customWidth="1"/>
    <col min="36" max="61" width="4.33203125" bestFit="1" customWidth="1"/>
    <col min="62" max="62" width="3.83203125" bestFit="1" customWidth="1"/>
    <col min="63" max="96" width="4.33203125" bestFit="1" customWidth="1"/>
    <col min="97" max="186" width="4.1640625" bestFit="1" customWidth="1"/>
    <col min="187" max="216" width="4" bestFit="1" customWidth="1"/>
  </cols>
  <sheetData>
    <row r="1" spans="1:216" x14ac:dyDescent="0.2">
      <c r="A1" s="67" t="s">
        <v>230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  <c r="EY1" s="67"/>
      <c r="EZ1" s="67"/>
      <c r="FA1" s="67"/>
      <c r="FB1" s="67"/>
      <c r="FC1" s="67"/>
      <c r="FD1" s="67"/>
      <c r="FE1" s="67"/>
      <c r="FF1" s="67"/>
      <c r="FG1" s="67"/>
      <c r="FH1" s="67"/>
      <c r="FI1" s="67"/>
      <c r="FJ1" s="67"/>
      <c r="FK1" s="67"/>
      <c r="FL1" s="67"/>
      <c r="FM1" s="67"/>
      <c r="FN1" s="67"/>
      <c r="FO1" s="67"/>
      <c r="FP1" s="67"/>
      <c r="FQ1" s="67"/>
      <c r="FR1" s="67"/>
      <c r="FS1" s="67"/>
      <c r="FT1" s="67"/>
      <c r="FU1" s="67"/>
      <c r="FV1" s="67"/>
      <c r="FW1" s="67"/>
      <c r="FX1" s="67"/>
      <c r="FY1" s="67"/>
      <c r="FZ1" s="67"/>
      <c r="GA1" s="67"/>
      <c r="GB1" s="67"/>
      <c r="GC1" s="67"/>
      <c r="GD1" s="67"/>
      <c r="GE1" s="67"/>
      <c r="GF1" s="67"/>
      <c r="GG1" s="67"/>
      <c r="GH1" s="67"/>
      <c r="GI1" s="67"/>
      <c r="GJ1" s="67"/>
      <c r="GK1" s="67"/>
      <c r="GL1" s="67"/>
      <c r="GM1" s="67"/>
      <c r="GN1" s="67"/>
      <c r="GO1" s="67"/>
      <c r="GP1" s="67"/>
      <c r="GQ1" s="67"/>
      <c r="GR1" s="67"/>
      <c r="GS1" s="67"/>
      <c r="GT1" s="67"/>
      <c r="GU1" s="67"/>
      <c r="GV1" s="67"/>
      <c r="GW1" s="67"/>
      <c r="GX1" s="67"/>
      <c r="GY1" s="67"/>
      <c r="GZ1" s="67"/>
      <c r="HA1" s="67"/>
      <c r="HB1" s="67"/>
      <c r="HC1" s="67"/>
      <c r="HD1" s="67"/>
      <c r="HE1" s="67"/>
      <c r="HF1" s="67"/>
      <c r="HG1" s="67"/>
      <c r="HH1" s="67"/>
    </row>
    <row r="2" spans="1:216" x14ac:dyDescent="0.2">
      <c r="A2" s="68"/>
      <c r="B2" s="68"/>
      <c r="C2" s="68"/>
      <c r="D2" s="69" t="s">
        <v>0</v>
      </c>
      <c r="E2" s="141" t="s">
        <v>231</v>
      </c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2"/>
      <c r="BN2" s="142"/>
      <c r="BO2" s="142"/>
      <c r="BP2" s="142"/>
      <c r="BQ2" s="142"/>
      <c r="BR2" s="142"/>
      <c r="BS2" s="142"/>
      <c r="BT2" s="142"/>
      <c r="BU2" s="142"/>
      <c r="BV2" s="142"/>
      <c r="BW2" s="142"/>
      <c r="BX2" s="142"/>
      <c r="BY2" s="142"/>
      <c r="BZ2" s="142"/>
      <c r="CA2" s="142"/>
      <c r="CB2" s="142"/>
      <c r="CC2" s="142"/>
      <c r="CD2" s="142"/>
      <c r="CE2" s="142"/>
      <c r="CF2" s="142"/>
      <c r="CG2" s="142"/>
      <c r="CH2" s="142"/>
      <c r="CI2" s="142"/>
      <c r="CJ2" s="142"/>
      <c r="CK2" s="142"/>
      <c r="CL2" s="142"/>
      <c r="CM2" s="142"/>
      <c r="CN2" s="142"/>
      <c r="CO2" s="142"/>
      <c r="CP2" s="142"/>
      <c r="CQ2" s="142"/>
      <c r="CR2" s="142"/>
      <c r="CS2" s="141" t="s">
        <v>232</v>
      </c>
      <c r="CT2" s="142"/>
      <c r="CU2" s="142"/>
      <c r="CV2" s="142"/>
      <c r="CW2" s="142"/>
      <c r="CX2" s="142"/>
      <c r="CY2" s="142"/>
      <c r="CZ2" s="142"/>
      <c r="DA2" s="142"/>
      <c r="DB2" s="142"/>
      <c r="DC2" s="142"/>
      <c r="DD2" s="142"/>
      <c r="DE2" s="142"/>
      <c r="DF2" s="142"/>
      <c r="DG2" s="142"/>
      <c r="DH2" s="142"/>
      <c r="DI2" s="142"/>
      <c r="DJ2" s="142"/>
      <c r="DK2" s="142"/>
      <c r="DL2" s="142"/>
      <c r="DM2" s="142"/>
      <c r="DN2" s="142"/>
      <c r="DO2" s="142"/>
      <c r="DP2" s="142"/>
      <c r="DQ2" s="142"/>
      <c r="DR2" s="142"/>
      <c r="DS2" s="142"/>
      <c r="DT2" s="142"/>
      <c r="DU2" s="142"/>
      <c r="DV2" s="142"/>
      <c r="DW2" s="142"/>
      <c r="DX2" s="142"/>
      <c r="DY2" s="142"/>
      <c r="DZ2" s="142"/>
      <c r="EA2" s="142"/>
      <c r="EB2" s="142"/>
      <c r="EC2" s="142"/>
      <c r="ED2" s="142"/>
      <c r="EE2" s="142"/>
      <c r="EF2" s="142"/>
      <c r="EG2" s="142"/>
      <c r="EH2" s="142"/>
      <c r="EI2" s="142"/>
      <c r="EJ2" s="142"/>
      <c r="EK2" s="142"/>
      <c r="EL2" s="142"/>
      <c r="EM2" s="142"/>
      <c r="EN2" s="142"/>
      <c r="EO2" s="142"/>
      <c r="EP2" s="142"/>
      <c r="EQ2" s="142"/>
      <c r="ER2" s="142"/>
      <c r="ES2" s="142"/>
      <c r="ET2" s="142"/>
      <c r="EU2" s="142"/>
      <c r="EV2" s="142"/>
      <c r="EW2" s="142"/>
      <c r="EX2" s="142"/>
      <c r="EY2" s="142"/>
      <c r="EZ2" s="142"/>
      <c r="FA2" s="142"/>
      <c r="FB2" s="142"/>
      <c r="FC2" s="142"/>
      <c r="FD2" s="142"/>
      <c r="FE2" s="142"/>
      <c r="FF2" s="142"/>
      <c r="FG2" s="142"/>
      <c r="FH2" s="142"/>
      <c r="FI2" s="142"/>
      <c r="FJ2" s="142"/>
      <c r="FK2" s="142"/>
      <c r="FL2" s="142"/>
      <c r="FM2" s="142"/>
      <c r="FN2" s="142"/>
      <c r="FO2" s="142"/>
      <c r="FP2" s="142"/>
      <c r="FQ2" s="142"/>
      <c r="FR2" s="142"/>
      <c r="FS2" s="142"/>
      <c r="FT2" s="142"/>
      <c r="FU2" s="142"/>
      <c r="FV2" s="142"/>
      <c r="FW2" s="142"/>
      <c r="FX2" s="142"/>
      <c r="FY2" s="142"/>
      <c r="FZ2" s="142"/>
      <c r="GA2" s="142"/>
      <c r="GB2" s="142"/>
      <c r="GC2" s="142"/>
      <c r="GD2" s="142"/>
      <c r="GE2" s="142"/>
      <c r="GF2" s="142"/>
      <c r="GG2" s="142"/>
      <c r="GH2" s="142"/>
      <c r="GI2" s="142"/>
      <c r="GJ2" s="142"/>
      <c r="GK2" s="142"/>
      <c r="GL2" s="142"/>
      <c r="GM2" s="142"/>
      <c r="GN2" s="142"/>
      <c r="GO2" s="142"/>
      <c r="GP2" s="142"/>
      <c r="GQ2" s="142"/>
      <c r="GR2" s="142"/>
      <c r="GS2" s="142"/>
      <c r="GT2" s="142"/>
      <c r="GU2" s="142"/>
      <c r="GV2" s="142"/>
      <c r="GW2" s="142"/>
      <c r="GX2" s="142"/>
      <c r="GY2" s="142"/>
      <c r="GZ2" s="142"/>
      <c r="HA2" s="142"/>
      <c r="HB2" s="142"/>
      <c r="HC2" s="142"/>
      <c r="HD2" s="142"/>
      <c r="HE2" s="142"/>
      <c r="HF2" s="142"/>
      <c r="HG2" s="142"/>
      <c r="HH2" s="142"/>
    </row>
    <row r="3" spans="1:216" x14ac:dyDescent="0.2">
      <c r="A3" s="68"/>
      <c r="B3" s="68"/>
      <c r="C3" s="68"/>
      <c r="D3" s="69" t="s">
        <v>233</v>
      </c>
      <c r="E3" s="143" t="s">
        <v>234</v>
      </c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3" t="s">
        <v>235</v>
      </c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3" t="s">
        <v>236</v>
      </c>
      <c r="BO3" s="142"/>
      <c r="BP3" s="142"/>
      <c r="BQ3" s="142"/>
      <c r="BR3" s="142"/>
      <c r="BS3" s="142"/>
      <c r="BT3" s="142"/>
      <c r="BU3" s="142"/>
      <c r="BV3" s="142"/>
      <c r="BW3" s="142"/>
      <c r="BX3" s="142"/>
      <c r="BY3" s="142"/>
      <c r="BZ3" s="142"/>
      <c r="CA3" s="142"/>
      <c r="CB3" s="142"/>
      <c r="CC3" s="142"/>
      <c r="CD3" s="142"/>
      <c r="CE3" s="142"/>
      <c r="CF3" s="142"/>
      <c r="CG3" s="142"/>
      <c r="CH3" s="142"/>
      <c r="CI3" s="142"/>
      <c r="CJ3" s="142"/>
      <c r="CK3" s="142"/>
      <c r="CL3" s="142"/>
      <c r="CM3" s="142"/>
      <c r="CN3" s="142"/>
      <c r="CO3" s="142"/>
      <c r="CP3" s="142"/>
      <c r="CQ3" s="142"/>
      <c r="CR3" s="142"/>
      <c r="CS3" s="143" t="s">
        <v>237</v>
      </c>
      <c r="CT3" s="142"/>
      <c r="CU3" s="142"/>
      <c r="CV3" s="142"/>
      <c r="CW3" s="142"/>
      <c r="CX3" s="142"/>
      <c r="CY3" s="142"/>
      <c r="CZ3" s="142"/>
      <c r="DA3" s="142"/>
      <c r="DB3" s="142"/>
      <c r="DC3" s="142"/>
      <c r="DD3" s="142"/>
      <c r="DE3" s="142"/>
      <c r="DF3" s="142"/>
      <c r="DG3" s="142"/>
      <c r="DH3" s="142"/>
      <c r="DI3" s="142"/>
      <c r="DJ3" s="142"/>
      <c r="DK3" s="142"/>
      <c r="DL3" s="142"/>
      <c r="DM3" s="142"/>
      <c r="DN3" s="142"/>
      <c r="DO3" s="142"/>
      <c r="DP3" s="142"/>
      <c r="DQ3" s="142"/>
      <c r="DR3" s="142"/>
      <c r="DS3" s="142"/>
      <c r="DT3" s="142"/>
      <c r="DU3" s="142"/>
      <c r="DV3" s="142"/>
      <c r="DW3" s="142"/>
      <c r="DX3" s="143" t="s">
        <v>238</v>
      </c>
      <c r="DY3" s="142"/>
      <c r="DZ3" s="142"/>
      <c r="EA3" s="142"/>
      <c r="EB3" s="142"/>
      <c r="EC3" s="142"/>
      <c r="ED3" s="142"/>
      <c r="EE3" s="142"/>
      <c r="EF3" s="142"/>
      <c r="EG3" s="142"/>
      <c r="EH3" s="142"/>
      <c r="EI3" s="142"/>
      <c r="EJ3" s="142"/>
      <c r="EK3" s="142"/>
      <c r="EL3" s="142"/>
      <c r="EM3" s="142"/>
      <c r="EN3" s="142"/>
      <c r="EO3" s="142"/>
      <c r="EP3" s="142"/>
      <c r="EQ3" s="142"/>
      <c r="ER3" s="142"/>
      <c r="ES3" s="142"/>
      <c r="ET3" s="142"/>
      <c r="EU3" s="142"/>
      <c r="EV3" s="142"/>
      <c r="EW3" s="142"/>
      <c r="EX3" s="142"/>
      <c r="EY3" s="142"/>
      <c r="EZ3" s="143" t="s">
        <v>239</v>
      </c>
      <c r="FA3" s="142"/>
      <c r="FB3" s="142"/>
      <c r="FC3" s="142"/>
      <c r="FD3" s="142"/>
      <c r="FE3" s="142"/>
      <c r="FF3" s="142"/>
      <c r="FG3" s="142"/>
      <c r="FH3" s="142"/>
      <c r="FI3" s="142"/>
      <c r="FJ3" s="142"/>
      <c r="FK3" s="142"/>
      <c r="FL3" s="142"/>
      <c r="FM3" s="142"/>
      <c r="FN3" s="142"/>
      <c r="FO3" s="142"/>
      <c r="FP3" s="142"/>
      <c r="FQ3" s="142"/>
      <c r="FR3" s="142"/>
      <c r="FS3" s="142"/>
      <c r="FT3" s="142"/>
      <c r="FU3" s="142"/>
      <c r="FV3" s="142"/>
      <c r="FW3" s="142"/>
      <c r="FX3" s="142"/>
      <c r="FY3" s="142"/>
      <c r="FZ3" s="142"/>
      <c r="GA3" s="142"/>
      <c r="GB3" s="142"/>
      <c r="GC3" s="142"/>
      <c r="GD3" s="142"/>
      <c r="GE3" s="143" t="s">
        <v>240</v>
      </c>
      <c r="GF3" s="142"/>
      <c r="GG3" s="142"/>
      <c r="GH3" s="142"/>
      <c r="GI3" s="142"/>
      <c r="GJ3" s="142"/>
      <c r="GK3" s="142"/>
      <c r="GL3" s="142"/>
      <c r="GM3" s="142"/>
      <c r="GN3" s="142"/>
      <c r="GO3" s="142"/>
      <c r="GP3" s="142"/>
      <c r="GQ3" s="142"/>
      <c r="GR3" s="142"/>
      <c r="GS3" s="142"/>
      <c r="GT3" s="142"/>
      <c r="GU3" s="142"/>
      <c r="GV3" s="142"/>
      <c r="GW3" s="142"/>
      <c r="GX3" s="142"/>
      <c r="GY3" s="142"/>
      <c r="GZ3" s="142"/>
      <c r="HA3" s="142"/>
      <c r="HB3" s="142"/>
      <c r="HC3" s="142"/>
      <c r="HD3" s="142"/>
      <c r="HE3" s="142"/>
      <c r="HF3" s="142"/>
      <c r="HG3" s="142"/>
      <c r="HH3" s="142"/>
    </row>
    <row r="4" spans="1:216" x14ac:dyDescent="0.2">
      <c r="A4" s="68"/>
      <c r="B4" s="68"/>
      <c r="C4" s="68"/>
      <c r="D4" s="69" t="s">
        <v>241</v>
      </c>
      <c r="E4" s="70">
        <v>1</v>
      </c>
      <c r="F4" s="70">
        <v>2</v>
      </c>
      <c r="G4" s="71">
        <v>3</v>
      </c>
      <c r="H4" s="71">
        <v>4</v>
      </c>
      <c r="I4" s="70">
        <v>5</v>
      </c>
      <c r="J4" s="70">
        <v>6</v>
      </c>
      <c r="K4" s="70">
        <v>7</v>
      </c>
      <c r="L4" s="70">
        <v>8</v>
      </c>
      <c r="M4" s="70">
        <v>9</v>
      </c>
      <c r="N4" s="71">
        <v>10</v>
      </c>
      <c r="O4" s="71">
        <v>11</v>
      </c>
      <c r="P4" s="70">
        <v>12</v>
      </c>
      <c r="Q4" s="70">
        <v>13</v>
      </c>
      <c r="R4" s="70">
        <v>14</v>
      </c>
      <c r="S4" s="70">
        <v>15</v>
      </c>
      <c r="T4" s="70">
        <v>16</v>
      </c>
      <c r="U4" s="71">
        <v>17</v>
      </c>
      <c r="V4" s="71">
        <v>18</v>
      </c>
      <c r="W4" s="70">
        <v>19</v>
      </c>
      <c r="X4" s="70">
        <v>20</v>
      </c>
      <c r="Y4" s="70">
        <v>21</v>
      </c>
      <c r="Z4" s="70">
        <v>22</v>
      </c>
      <c r="AA4" s="70">
        <v>23</v>
      </c>
      <c r="AB4" s="71">
        <v>24</v>
      </c>
      <c r="AC4" s="71">
        <v>25</v>
      </c>
      <c r="AD4" s="70">
        <v>26</v>
      </c>
      <c r="AE4" s="70">
        <v>27</v>
      </c>
      <c r="AF4" s="70">
        <v>28</v>
      </c>
      <c r="AG4" s="70">
        <v>29</v>
      </c>
      <c r="AH4" s="70">
        <v>30</v>
      </c>
      <c r="AI4" s="71">
        <v>31</v>
      </c>
      <c r="AJ4" s="71">
        <v>1</v>
      </c>
      <c r="AK4" s="70">
        <v>2</v>
      </c>
      <c r="AL4" s="70">
        <v>3</v>
      </c>
      <c r="AM4" s="70">
        <v>4</v>
      </c>
      <c r="AN4" s="70">
        <v>5</v>
      </c>
      <c r="AO4" s="70">
        <v>6</v>
      </c>
      <c r="AP4" s="71">
        <v>7</v>
      </c>
      <c r="AQ4" s="71">
        <v>8</v>
      </c>
      <c r="AR4" s="70">
        <v>9</v>
      </c>
      <c r="AS4" s="70">
        <v>10</v>
      </c>
      <c r="AT4" s="70">
        <v>11</v>
      </c>
      <c r="AU4" s="70">
        <v>12</v>
      </c>
      <c r="AV4" s="70">
        <v>13</v>
      </c>
      <c r="AW4" s="71">
        <v>14</v>
      </c>
      <c r="AX4" s="71">
        <v>15</v>
      </c>
      <c r="AY4" s="70">
        <v>16</v>
      </c>
      <c r="AZ4" s="70">
        <v>17</v>
      </c>
      <c r="BA4" s="70">
        <v>18</v>
      </c>
      <c r="BB4" s="70">
        <v>19</v>
      </c>
      <c r="BC4" s="70">
        <v>20</v>
      </c>
      <c r="BD4" s="71">
        <v>21</v>
      </c>
      <c r="BE4" s="71">
        <v>22</v>
      </c>
      <c r="BF4" s="70">
        <v>23</v>
      </c>
      <c r="BG4" s="70">
        <v>24</v>
      </c>
      <c r="BH4" s="70">
        <v>25</v>
      </c>
      <c r="BI4" s="70">
        <v>26</v>
      </c>
      <c r="BJ4" s="70">
        <v>27</v>
      </c>
      <c r="BK4" s="71">
        <v>28</v>
      </c>
      <c r="BL4" s="71">
        <v>29</v>
      </c>
      <c r="BM4" s="70">
        <v>30</v>
      </c>
      <c r="BN4" s="70">
        <v>1</v>
      </c>
      <c r="BO4" s="70">
        <v>2</v>
      </c>
      <c r="BP4" s="70">
        <v>3</v>
      </c>
      <c r="BQ4" s="70">
        <v>4</v>
      </c>
      <c r="BR4" s="71">
        <v>5</v>
      </c>
      <c r="BS4" s="71">
        <v>6</v>
      </c>
      <c r="BT4" s="70">
        <v>7</v>
      </c>
      <c r="BU4" s="70">
        <v>8</v>
      </c>
      <c r="BV4" s="70">
        <v>9</v>
      </c>
      <c r="BW4" s="70">
        <v>10</v>
      </c>
      <c r="BX4" s="70">
        <v>11</v>
      </c>
      <c r="BY4" s="71">
        <v>12</v>
      </c>
      <c r="BZ4" s="71">
        <v>13</v>
      </c>
      <c r="CA4" s="70">
        <v>14</v>
      </c>
      <c r="CB4" s="70">
        <v>15</v>
      </c>
      <c r="CC4" s="70">
        <v>16</v>
      </c>
      <c r="CD4" s="70">
        <v>17</v>
      </c>
      <c r="CE4" s="70">
        <v>18</v>
      </c>
      <c r="CF4" s="71">
        <v>19</v>
      </c>
      <c r="CG4" s="71">
        <v>20</v>
      </c>
      <c r="CH4" s="70">
        <v>21</v>
      </c>
      <c r="CI4" s="70">
        <v>22</v>
      </c>
      <c r="CJ4" s="70">
        <v>23</v>
      </c>
      <c r="CK4" s="70">
        <v>24</v>
      </c>
      <c r="CL4" s="70">
        <v>25</v>
      </c>
      <c r="CM4" s="71">
        <v>26</v>
      </c>
      <c r="CN4" s="71">
        <v>27</v>
      </c>
      <c r="CO4" s="70">
        <v>28</v>
      </c>
      <c r="CP4" s="70">
        <v>29</v>
      </c>
      <c r="CQ4" s="70">
        <v>30</v>
      </c>
      <c r="CR4" s="70">
        <v>31</v>
      </c>
      <c r="CS4" s="70">
        <v>1</v>
      </c>
      <c r="CT4" s="71">
        <v>2</v>
      </c>
      <c r="CU4" s="71">
        <v>3</v>
      </c>
      <c r="CV4" s="70">
        <v>4</v>
      </c>
      <c r="CW4" s="70">
        <v>5</v>
      </c>
      <c r="CX4" s="70">
        <v>6</v>
      </c>
      <c r="CY4" s="70">
        <v>7</v>
      </c>
      <c r="CZ4" s="70">
        <v>8</v>
      </c>
      <c r="DA4" s="71">
        <v>9</v>
      </c>
      <c r="DB4" s="71">
        <v>10</v>
      </c>
      <c r="DC4" s="70">
        <v>11</v>
      </c>
      <c r="DD4" s="70">
        <v>12</v>
      </c>
      <c r="DE4" s="70">
        <v>13</v>
      </c>
      <c r="DF4" s="70">
        <v>14</v>
      </c>
      <c r="DG4" s="70">
        <v>15</v>
      </c>
      <c r="DH4" s="71">
        <v>16</v>
      </c>
      <c r="DI4" s="71">
        <v>17</v>
      </c>
      <c r="DJ4" s="70">
        <v>18</v>
      </c>
      <c r="DK4" s="70">
        <v>19</v>
      </c>
      <c r="DL4" s="70">
        <v>20</v>
      </c>
      <c r="DM4" s="70">
        <v>21</v>
      </c>
      <c r="DN4" s="70">
        <v>22</v>
      </c>
      <c r="DO4" s="71">
        <v>23</v>
      </c>
      <c r="DP4" s="71">
        <v>24</v>
      </c>
      <c r="DQ4" s="70">
        <v>25</v>
      </c>
      <c r="DR4" s="70">
        <v>26</v>
      </c>
      <c r="DS4" s="70">
        <v>27</v>
      </c>
      <c r="DT4" s="70">
        <v>28</v>
      </c>
      <c r="DU4" s="70">
        <v>29</v>
      </c>
      <c r="DV4" s="71">
        <v>30</v>
      </c>
      <c r="DW4" s="71">
        <v>31</v>
      </c>
      <c r="DX4" s="70">
        <v>1</v>
      </c>
      <c r="DY4" s="70">
        <v>2</v>
      </c>
      <c r="DZ4" s="70">
        <v>3</v>
      </c>
      <c r="EA4" s="70">
        <v>4</v>
      </c>
      <c r="EB4" s="70">
        <v>5</v>
      </c>
      <c r="EC4" s="71">
        <v>6</v>
      </c>
      <c r="ED4" s="71">
        <v>7</v>
      </c>
      <c r="EE4" s="70">
        <v>8</v>
      </c>
      <c r="EF4" s="70">
        <v>9</v>
      </c>
      <c r="EG4" s="70">
        <v>10</v>
      </c>
      <c r="EH4" s="70">
        <v>11</v>
      </c>
      <c r="EI4" s="70">
        <v>12</v>
      </c>
      <c r="EJ4" s="71">
        <v>13</v>
      </c>
      <c r="EK4" s="71">
        <v>14</v>
      </c>
      <c r="EL4" s="70">
        <v>15</v>
      </c>
      <c r="EM4" s="70">
        <v>16</v>
      </c>
      <c r="EN4" s="70">
        <v>17</v>
      </c>
      <c r="EO4" s="70">
        <v>18</v>
      </c>
      <c r="EP4" s="70">
        <v>19</v>
      </c>
      <c r="EQ4" s="71">
        <v>20</v>
      </c>
      <c r="ER4" s="71">
        <v>21</v>
      </c>
      <c r="ES4" s="70">
        <v>22</v>
      </c>
      <c r="ET4" s="70">
        <v>23</v>
      </c>
      <c r="EU4" s="70">
        <v>24</v>
      </c>
      <c r="EV4" s="70">
        <v>25</v>
      </c>
      <c r="EW4" s="70">
        <v>26</v>
      </c>
      <c r="EX4" s="71">
        <v>27</v>
      </c>
      <c r="EY4" s="71">
        <v>28</v>
      </c>
      <c r="EZ4" s="70">
        <v>1</v>
      </c>
      <c r="FA4" s="70">
        <v>2</v>
      </c>
      <c r="FB4" s="70">
        <v>3</v>
      </c>
      <c r="FC4" s="70">
        <v>4</v>
      </c>
      <c r="FD4" s="70">
        <v>5</v>
      </c>
      <c r="FE4" s="71">
        <v>6</v>
      </c>
      <c r="FF4" s="71">
        <v>7</v>
      </c>
      <c r="FG4" s="70">
        <v>8</v>
      </c>
      <c r="FH4" s="70">
        <v>9</v>
      </c>
      <c r="FI4" s="70">
        <v>10</v>
      </c>
      <c r="FJ4" s="70">
        <v>11</v>
      </c>
      <c r="FK4" s="70">
        <v>12</v>
      </c>
      <c r="FL4" s="71">
        <v>13</v>
      </c>
      <c r="FM4" s="71">
        <v>14</v>
      </c>
      <c r="FN4" s="70">
        <v>15</v>
      </c>
      <c r="FO4" s="70">
        <v>16</v>
      </c>
      <c r="FP4" s="70">
        <v>17</v>
      </c>
      <c r="FQ4" s="70">
        <v>18</v>
      </c>
      <c r="FR4" s="70">
        <v>19</v>
      </c>
      <c r="FS4" s="71">
        <v>20</v>
      </c>
      <c r="FT4" s="71">
        <v>21</v>
      </c>
      <c r="FU4" s="70">
        <v>22</v>
      </c>
      <c r="FV4" s="70">
        <v>23</v>
      </c>
      <c r="FW4" s="70">
        <v>24</v>
      </c>
      <c r="FX4" s="70">
        <v>25</v>
      </c>
      <c r="FY4" s="70">
        <v>26</v>
      </c>
      <c r="FZ4" s="71">
        <v>27</v>
      </c>
      <c r="GA4" s="71">
        <v>28</v>
      </c>
      <c r="GB4" s="70">
        <v>29</v>
      </c>
      <c r="GC4" s="70">
        <v>30</v>
      </c>
      <c r="GD4" s="70">
        <v>31</v>
      </c>
      <c r="GE4" s="70">
        <v>1</v>
      </c>
      <c r="GF4" s="70">
        <v>2</v>
      </c>
      <c r="GG4" s="71">
        <v>3</v>
      </c>
      <c r="GH4" s="71">
        <v>4</v>
      </c>
      <c r="GI4" s="70">
        <v>5</v>
      </c>
      <c r="GJ4" s="70">
        <v>6</v>
      </c>
      <c r="GK4" s="70">
        <v>7</v>
      </c>
      <c r="GL4" s="70">
        <v>8</v>
      </c>
      <c r="GM4" s="70">
        <v>9</v>
      </c>
      <c r="GN4" s="71">
        <v>10</v>
      </c>
      <c r="GO4" s="71">
        <v>11</v>
      </c>
      <c r="GP4" s="70">
        <v>12</v>
      </c>
      <c r="GQ4" s="70">
        <v>13</v>
      </c>
      <c r="GR4" s="70">
        <v>14</v>
      </c>
      <c r="GS4" s="70">
        <v>15</v>
      </c>
      <c r="GT4" s="70">
        <v>16</v>
      </c>
      <c r="GU4" s="71">
        <v>17</v>
      </c>
      <c r="GV4" s="71">
        <v>18</v>
      </c>
      <c r="GW4" s="70">
        <v>19</v>
      </c>
      <c r="GX4" s="70">
        <v>20</v>
      </c>
      <c r="GY4" s="70">
        <v>21</v>
      </c>
      <c r="GZ4" s="70">
        <v>22</v>
      </c>
      <c r="HA4" s="70">
        <v>23</v>
      </c>
      <c r="HB4" s="71">
        <v>24</v>
      </c>
      <c r="HC4" s="71">
        <v>25</v>
      </c>
      <c r="HD4" s="70">
        <v>26</v>
      </c>
      <c r="HE4" s="70">
        <v>27</v>
      </c>
      <c r="HF4" s="70">
        <v>28</v>
      </c>
      <c r="HG4" s="70">
        <v>29</v>
      </c>
      <c r="HH4" s="70">
        <v>30</v>
      </c>
    </row>
    <row r="5" spans="1:216" x14ac:dyDescent="0.2">
      <c r="A5" s="68"/>
      <c r="B5" s="68"/>
      <c r="C5" s="68"/>
      <c r="D5" s="69" t="s">
        <v>242</v>
      </c>
      <c r="E5" s="106">
        <f>DATE(2026,10,1)</f>
        <v>46296</v>
      </c>
      <c r="F5" s="106">
        <f t="shared" ref="F5:BQ5" si="0">E5+1</f>
        <v>46297</v>
      </c>
      <c r="G5" s="106">
        <f t="shared" si="0"/>
        <v>46298</v>
      </c>
      <c r="H5" s="106">
        <f t="shared" si="0"/>
        <v>46299</v>
      </c>
      <c r="I5" s="106">
        <f t="shared" si="0"/>
        <v>46300</v>
      </c>
      <c r="J5" s="106">
        <f t="shared" si="0"/>
        <v>46301</v>
      </c>
      <c r="K5" s="106">
        <f t="shared" si="0"/>
        <v>46302</v>
      </c>
      <c r="L5" s="106">
        <f t="shared" si="0"/>
        <v>46303</v>
      </c>
      <c r="M5" s="106">
        <f t="shared" si="0"/>
        <v>46304</v>
      </c>
      <c r="N5" s="106">
        <f t="shared" si="0"/>
        <v>46305</v>
      </c>
      <c r="O5" s="106">
        <f t="shared" si="0"/>
        <v>46306</v>
      </c>
      <c r="P5" s="106">
        <f t="shared" si="0"/>
        <v>46307</v>
      </c>
      <c r="Q5" s="106">
        <f t="shared" si="0"/>
        <v>46308</v>
      </c>
      <c r="R5" s="106">
        <f t="shared" si="0"/>
        <v>46309</v>
      </c>
      <c r="S5" s="106">
        <f t="shared" si="0"/>
        <v>46310</v>
      </c>
      <c r="T5" s="106">
        <f t="shared" si="0"/>
        <v>46311</v>
      </c>
      <c r="U5" s="106">
        <f t="shared" si="0"/>
        <v>46312</v>
      </c>
      <c r="V5" s="106">
        <f t="shared" si="0"/>
        <v>46313</v>
      </c>
      <c r="W5" s="106">
        <f t="shared" si="0"/>
        <v>46314</v>
      </c>
      <c r="X5" s="106">
        <f t="shared" si="0"/>
        <v>46315</v>
      </c>
      <c r="Y5" s="106">
        <f t="shared" si="0"/>
        <v>46316</v>
      </c>
      <c r="Z5" s="106">
        <f t="shared" si="0"/>
        <v>46317</v>
      </c>
      <c r="AA5" s="106">
        <f t="shared" si="0"/>
        <v>46318</v>
      </c>
      <c r="AB5" s="106">
        <f t="shared" si="0"/>
        <v>46319</v>
      </c>
      <c r="AC5" s="106">
        <f t="shared" si="0"/>
        <v>46320</v>
      </c>
      <c r="AD5" s="106">
        <f t="shared" si="0"/>
        <v>46321</v>
      </c>
      <c r="AE5" s="106">
        <f t="shared" si="0"/>
        <v>46322</v>
      </c>
      <c r="AF5" s="106">
        <f t="shared" si="0"/>
        <v>46323</v>
      </c>
      <c r="AG5" s="106">
        <f t="shared" si="0"/>
        <v>46324</v>
      </c>
      <c r="AH5" s="106">
        <f t="shared" si="0"/>
        <v>46325</v>
      </c>
      <c r="AI5" s="106">
        <f t="shared" si="0"/>
        <v>46326</v>
      </c>
      <c r="AJ5" s="106">
        <f t="shared" si="0"/>
        <v>46327</v>
      </c>
      <c r="AK5" s="106">
        <f t="shared" si="0"/>
        <v>46328</v>
      </c>
      <c r="AL5" s="106">
        <f t="shared" si="0"/>
        <v>46329</v>
      </c>
      <c r="AM5" s="106">
        <f t="shared" si="0"/>
        <v>46330</v>
      </c>
      <c r="AN5" s="106">
        <f t="shared" si="0"/>
        <v>46331</v>
      </c>
      <c r="AO5" s="106">
        <f t="shared" si="0"/>
        <v>46332</v>
      </c>
      <c r="AP5" s="106">
        <f t="shared" si="0"/>
        <v>46333</v>
      </c>
      <c r="AQ5" s="106">
        <f t="shared" si="0"/>
        <v>46334</v>
      </c>
      <c r="AR5" s="106">
        <f t="shared" si="0"/>
        <v>46335</v>
      </c>
      <c r="AS5" s="106">
        <f t="shared" si="0"/>
        <v>46336</v>
      </c>
      <c r="AT5" s="106">
        <f t="shared" si="0"/>
        <v>46337</v>
      </c>
      <c r="AU5" s="106">
        <f t="shared" si="0"/>
        <v>46338</v>
      </c>
      <c r="AV5" s="106">
        <f t="shared" si="0"/>
        <v>46339</v>
      </c>
      <c r="AW5" s="106">
        <f t="shared" si="0"/>
        <v>46340</v>
      </c>
      <c r="AX5" s="106">
        <f t="shared" si="0"/>
        <v>46341</v>
      </c>
      <c r="AY5" s="106">
        <f t="shared" si="0"/>
        <v>46342</v>
      </c>
      <c r="AZ5" s="106">
        <f t="shared" si="0"/>
        <v>46343</v>
      </c>
      <c r="BA5" s="106">
        <f t="shared" si="0"/>
        <v>46344</v>
      </c>
      <c r="BB5" s="106">
        <f t="shared" si="0"/>
        <v>46345</v>
      </c>
      <c r="BC5" s="106">
        <f t="shared" si="0"/>
        <v>46346</v>
      </c>
      <c r="BD5" s="106">
        <f t="shared" si="0"/>
        <v>46347</v>
      </c>
      <c r="BE5" s="106">
        <f t="shared" si="0"/>
        <v>46348</v>
      </c>
      <c r="BF5" s="106">
        <f t="shared" si="0"/>
        <v>46349</v>
      </c>
      <c r="BG5" s="106">
        <f t="shared" si="0"/>
        <v>46350</v>
      </c>
      <c r="BH5" s="106">
        <f t="shared" si="0"/>
        <v>46351</v>
      </c>
      <c r="BI5" s="106">
        <f t="shared" si="0"/>
        <v>46352</v>
      </c>
      <c r="BJ5" s="106">
        <f t="shared" si="0"/>
        <v>46353</v>
      </c>
      <c r="BK5" s="106">
        <f t="shared" si="0"/>
        <v>46354</v>
      </c>
      <c r="BL5" s="106">
        <f t="shared" si="0"/>
        <v>46355</v>
      </c>
      <c r="BM5" s="106">
        <f t="shared" si="0"/>
        <v>46356</v>
      </c>
      <c r="BN5" s="106">
        <f t="shared" si="0"/>
        <v>46357</v>
      </c>
      <c r="BO5" s="106">
        <f t="shared" si="0"/>
        <v>46358</v>
      </c>
      <c r="BP5" s="106">
        <f t="shared" si="0"/>
        <v>46359</v>
      </c>
      <c r="BQ5" s="106">
        <f t="shared" si="0"/>
        <v>46360</v>
      </c>
      <c r="BR5" s="106">
        <f t="shared" ref="BR5:EC5" si="1">BQ5+1</f>
        <v>46361</v>
      </c>
      <c r="BS5" s="106">
        <f t="shared" si="1"/>
        <v>46362</v>
      </c>
      <c r="BT5" s="106">
        <f t="shared" si="1"/>
        <v>46363</v>
      </c>
      <c r="BU5" s="106">
        <f t="shared" si="1"/>
        <v>46364</v>
      </c>
      <c r="BV5" s="106">
        <f t="shared" si="1"/>
        <v>46365</v>
      </c>
      <c r="BW5" s="106">
        <f t="shared" si="1"/>
        <v>46366</v>
      </c>
      <c r="BX5" s="106">
        <f t="shared" si="1"/>
        <v>46367</v>
      </c>
      <c r="BY5" s="106">
        <f t="shared" si="1"/>
        <v>46368</v>
      </c>
      <c r="BZ5" s="106">
        <f t="shared" si="1"/>
        <v>46369</v>
      </c>
      <c r="CA5" s="106">
        <f t="shared" si="1"/>
        <v>46370</v>
      </c>
      <c r="CB5" s="106">
        <f t="shared" si="1"/>
        <v>46371</v>
      </c>
      <c r="CC5" s="106">
        <f t="shared" si="1"/>
        <v>46372</v>
      </c>
      <c r="CD5" s="106">
        <f t="shared" si="1"/>
        <v>46373</v>
      </c>
      <c r="CE5" s="106">
        <f t="shared" si="1"/>
        <v>46374</v>
      </c>
      <c r="CF5" s="106">
        <f t="shared" si="1"/>
        <v>46375</v>
      </c>
      <c r="CG5" s="106">
        <f t="shared" si="1"/>
        <v>46376</v>
      </c>
      <c r="CH5" s="106">
        <f t="shared" si="1"/>
        <v>46377</v>
      </c>
      <c r="CI5" s="106">
        <f t="shared" si="1"/>
        <v>46378</v>
      </c>
      <c r="CJ5" s="106">
        <f t="shared" si="1"/>
        <v>46379</v>
      </c>
      <c r="CK5" s="106">
        <f t="shared" si="1"/>
        <v>46380</v>
      </c>
      <c r="CL5" s="106">
        <f t="shared" si="1"/>
        <v>46381</v>
      </c>
      <c r="CM5" s="106">
        <f t="shared" si="1"/>
        <v>46382</v>
      </c>
      <c r="CN5" s="106">
        <f t="shared" si="1"/>
        <v>46383</v>
      </c>
      <c r="CO5" s="106">
        <f t="shared" si="1"/>
        <v>46384</v>
      </c>
      <c r="CP5" s="106">
        <f t="shared" si="1"/>
        <v>46385</v>
      </c>
      <c r="CQ5" s="106">
        <f t="shared" si="1"/>
        <v>46386</v>
      </c>
      <c r="CR5" s="106">
        <f t="shared" si="1"/>
        <v>46387</v>
      </c>
      <c r="CS5" s="106">
        <f t="shared" si="1"/>
        <v>46388</v>
      </c>
      <c r="CT5" s="106">
        <f t="shared" si="1"/>
        <v>46389</v>
      </c>
      <c r="CU5" s="106">
        <f t="shared" si="1"/>
        <v>46390</v>
      </c>
      <c r="CV5" s="106">
        <f t="shared" si="1"/>
        <v>46391</v>
      </c>
      <c r="CW5" s="106">
        <f t="shared" si="1"/>
        <v>46392</v>
      </c>
      <c r="CX5" s="106">
        <f t="shared" si="1"/>
        <v>46393</v>
      </c>
      <c r="CY5" s="106">
        <f t="shared" si="1"/>
        <v>46394</v>
      </c>
      <c r="CZ5" s="106">
        <f t="shared" si="1"/>
        <v>46395</v>
      </c>
      <c r="DA5" s="106">
        <f t="shared" si="1"/>
        <v>46396</v>
      </c>
      <c r="DB5" s="106">
        <f t="shared" si="1"/>
        <v>46397</v>
      </c>
      <c r="DC5" s="106">
        <f t="shared" si="1"/>
        <v>46398</v>
      </c>
      <c r="DD5" s="106">
        <f t="shared" si="1"/>
        <v>46399</v>
      </c>
      <c r="DE5" s="106">
        <f t="shared" si="1"/>
        <v>46400</v>
      </c>
      <c r="DF5" s="106">
        <f t="shared" si="1"/>
        <v>46401</v>
      </c>
      <c r="DG5" s="106">
        <f t="shared" si="1"/>
        <v>46402</v>
      </c>
      <c r="DH5" s="106">
        <f t="shared" si="1"/>
        <v>46403</v>
      </c>
      <c r="DI5" s="106">
        <f t="shared" si="1"/>
        <v>46404</v>
      </c>
      <c r="DJ5" s="106">
        <f t="shared" si="1"/>
        <v>46405</v>
      </c>
      <c r="DK5" s="106">
        <f t="shared" si="1"/>
        <v>46406</v>
      </c>
      <c r="DL5" s="106">
        <f t="shared" si="1"/>
        <v>46407</v>
      </c>
      <c r="DM5" s="106">
        <f t="shared" si="1"/>
        <v>46408</v>
      </c>
      <c r="DN5" s="106">
        <f t="shared" si="1"/>
        <v>46409</v>
      </c>
      <c r="DO5" s="106">
        <f t="shared" si="1"/>
        <v>46410</v>
      </c>
      <c r="DP5" s="106">
        <f t="shared" si="1"/>
        <v>46411</v>
      </c>
      <c r="DQ5" s="106">
        <f t="shared" si="1"/>
        <v>46412</v>
      </c>
      <c r="DR5" s="106">
        <f t="shared" si="1"/>
        <v>46413</v>
      </c>
      <c r="DS5" s="106">
        <f t="shared" si="1"/>
        <v>46414</v>
      </c>
      <c r="DT5" s="106">
        <f t="shared" si="1"/>
        <v>46415</v>
      </c>
      <c r="DU5" s="106">
        <f t="shared" si="1"/>
        <v>46416</v>
      </c>
      <c r="DV5" s="106">
        <f t="shared" si="1"/>
        <v>46417</v>
      </c>
      <c r="DW5" s="106">
        <f t="shared" si="1"/>
        <v>46418</v>
      </c>
      <c r="DX5" s="106">
        <f t="shared" si="1"/>
        <v>46419</v>
      </c>
      <c r="DY5" s="106">
        <f t="shared" si="1"/>
        <v>46420</v>
      </c>
      <c r="DZ5" s="106">
        <f t="shared" si="1"/>
        <v>46421</v>
      </c>
      <c r="EA5" s="106">
        <f t="shared" si="1"/>
        <v>46422</v>
      </c>
      <c r="EB5" s="106">
        <f t="shared" si="1"/>
        <v>46423</v>
      </c>
      <c r="EC5" s="106">
        <f t="shared" si="1"/>
        <v>46424</v>
      </c>
      <c r="ED5" s="106">
        <f t="shared" ref="ED5:GO5" si="2">EC5+1</f>
        <v>46425</v>
      </c>
      <c r="EE5" s="106">
        <f t="shared" si="2"/>
        <v>46426</v>
      </c>
      <c r="EF5" s="106">
        <f t="shared" si="2"/>
        <v>46427</v>
      </c>
      <c r="EG5" s="106">
        <f t="shared" si="2"/>
        <v>46428</v>
      </c>
      <c r="EH5" s="106">
        <f t="shared" si="2"/>
        <v>46429</v>
      </c>
      <c r="EI5" s="106">
        <f t="shared" si="2"/>
        <v>46430</v>
      </c>
      <c r="EJ5" s="106">
        <f t="shared" si="2"/>
        <v>46431</v>
      </c>
      <c r="EK5" s="106">
        <f t="shared" si="2"/>
        <v>46432</v>
      </c>
      <c r="EL5" s="106">
        <f t="shared" si="2"/>
        <v>46433</v>
      </c>
      <c r="EM5" s="106">
        <f t="shared" si="2"/>
        <v>46434</v>
      </c>
      <c r="EN5" s="106">
        <f t="shared" si="2"/>
        <v>46435</v>
      </c>
      <c r="EO5" s="106">
        <f t="shared" si="2"/>
        <v>46436</v>
      </c>
      <c r="EP5" s="106">
        <f t="shared" si="2"/>
        <v>46437</v>
      </c>
      <c r="EQ5" s="106">
        <f t="shared" si="2"/>
        <v>46438</v>
      </c>
      <c r="ER5" s="106">
        <f t="shared" si="2"/>
        <v>46439</v>
      </c>
      <c r="ES5" s="106">
        <f t="shared" si="2"/>
        <v>46440</v>
      </c>
      <c r="ET5" s="106">
        <f t="shared" si="2"/>
        <v>46441</v>
      </c>
      <c r="EU5" s="106">
        <f t="shared" si="2"/>
        <v>46442</v>
      </c>
      <c r="EV5" s="106">
        <f t="shared" si="2"/>
        <v>46443</v>
      </c>
      <c r="EW5" s="106">
        <f t="shared" si="2"/>
        <v>46444</v>
      </c>
      <c r="EX5" s="106">
        <f t="shared" si="2"/>
        <v>46445</v>
      </c>
      <c r="EY5" s="106">
        <f t="shared" si="2"/>
        <v>46446</v>
      </c>
      <c r="EZ5" s="106">
        <f t="shared" si="2"/>
        <v>46447</v>
      </c>
      <c r="FA5" s="106">
        <f t="shared" si="2"/>
        <v>46448</v>
      </c>
      <c r="FB5" s="106">
        <f t="shared" si="2"/>
        <v>46449</v>
      </c>
      <c r="FC5" s="106">
        <f t="shared" si="2"/>
        <v>46450</v>
      </c>
      <c r="FD5" s="106">
        <f t="shared" si="2"/>
        <v>46451</v>
      </c>
      <c r="FE5" s="106">
        <f t="shared" si="2"/>
        <v>46452</v>
      </c>
      <c r="FF5" s="106">
        <f t="shared" si="2"/>
        <v>46453</v>
      </c>
      <c r="FG5" s="106">
        <f t="shared" si="2"/>
        <v>46454</v>
      </c>
      <c r="FH5" s="106">
        <f t="shared" si="2"/>
        <v>46455</v>
      </c>
      <c r="FI5" s="106">
        <f t="shared" si="2"/>
        <v>46456</v>
      </c>
      <c r="FJ5" s="106">
        <f t="shared" si="2"/>
        <v>46457</v>
      </c>
      <c r="FK5" s="106">
        <f t="shared" si="2"/>
        <v>46458</v>
      </c>
      <c r="FL5" s="106">
        <f t="shared" si="2"/>
        <v>46459</v>
      </c>
      <c r="FM5" s="106">
        <f t="shared" si="2"/>
        <v>46460</v>
      </c>
      <c r="FN5" s="106">
        <f t="shared" si="2"/>
        <v>46461</v>
      </c>
      <c r="FO5" s="106">
        <f t="shared" si="2"/>
        <v>46462</v>
      </c>
      <c r="FP5" s="106">
        <f t="shared" si="2"/>
        <v>46463</v>
      </c>
      <c r="FQ5" s="106">
        <f t="shared" si="2"/>
        <v>46464</v>
      </c>
      <c r="FR5" s="106">
        <f t="shared" si="2"/>
        <v>46465</v>
      </c>
      <c r="FS5" s="106">
        <f t="shared" si="2"/>
        <v>46466</v>
      </c>
      <c r="FT5" s="106">
        <f t="shared" si="2"/>
        <v>46467</v>
      </c>
      <c r="FU5" s="106">
        <f t="shared" si="2"/>
        <v>46468</v>
      </c>
      <c r="FV5" s="106">
        <f t="shared" si="2"/>
        <v>46469</v>
      </c>
      <c r="FW5" s="106">
        <f t="shared" si="2"/>
        <v>46470</v>
      </c>
      <c r="FX5" s="106">
        <f t="shared" si="2"/>
        <v>46471</v>
      </c>
      <c r="FY5" s="106">
        <f t="shared" si="2"/>
        <v>46472</v>
      </c>
      <c r="FZ5" s="106">
        <f t="shared" si="2"/>
        <v>46473</v>
      </c>
      <c r="GA5" s="106">
        <f t="shared" si="2"/>
        <v>46474</v>
      </c>
      <c r="GB5" s="106">
        <f t="shared" si="2"/>
        <v>46475</v>
      </c>
      <c r="GC5" s="106">
        <f t="shared" si="2"/>
        <v>46476</v>
      </c>
      <c r="GD5" s="106">
        <f t="shared" si="2"/>
        <v>46477</v>
      </c>
      <c r="GE5" s="106">
        <f t="shared" si="2"/>
        <v>46478</v>
      </c>
      <c r="GF5" s="106">
        <f t="shared" si="2"/>
        <v>46479</v>
      </c>
      <c r="GG5" s="106">
        <f t="shared" si="2"/>
        <v>46480</v>
      </c>
      <c r="GH5" s="106">
        <f t="shared" si="2"/>
        <v>46481</v>
      </c>
      <c r="GI5" s="106">
        <f t="shared" si="2"/>
        <v>46482</v>
      </c>
      <c r="GJ5" s="106">
        <f t="shared" si="2"/>
        <v>46483</v>
      </c>
      <c r="GK5" s="106">
        <f t="shared" si="2"/>
        <v>46484</v>
      </c>
      <c r="GL5" s="106">
        <f t="shared" si="2"/>
        <v>46485</v>
      </c>
      <c r="GM5" s="106">
        <f t="shared" si="2"/>
        <v>46486</v>
      </c>
      <c r="GN5" s="106">
        <f t="shared" si="2"/>
        <v>46487</v>
      </c>
      <c r="GO5" s="106">
        <f t="shared" si="2"/>
        <v>46488</v>
      </c>
      <c r="GP5" s="106">
        <f t="shared" ref="GP5:HH5" si="3">GO5+1</f>
        <v>46489</v>
      </c>
      <c r="GQ5" s="106">
        <f t="shared" si="3"/>
        <v>46490</v>
      </c>
      <c r="GR5" s="106">
        <f t="shared" si="3"/>
        <v>46491</v>
      </c>
      <c r="GS5" s="106">
        <f t="shared" si="3"/>
        <v>46492</v>
      </c>
      <c r="GT5" s="106">
        <f t="shared" si="3"/>
        <v>46493</v>
      </c>
      <c r="GU5" s="106">
        <f t="shared" si="3"/>
        <v>46494</v>
      </c>
      <c r="GV5" s="106">
        <f t="shared" si="3"/>
        <v>46495</v>
      </c>
      <c r="GW5" s="106">
        <f t="shared" si="3"/>
        <v>46496</v>
      </c>
      <c r="GX5" s="106">
        <f t="shared" si="3"/>
        <v>46497</v>
      </c>
      <c r="GY5" s="106">
        <f t="shared" si="3"/>
        <v>46498</v>
      </c>
      <c r="GZ5" s="106">
        <f t="shared" si="3"/>
        <v>46499</v>
      </c>
      <c r="HA5" s="106">
        <f t="shared" si="3"/>
        <v>46500</v>
      </c>
      <c r="HB5" s="106">
        <f t="shared" si="3"/>
        <v>46501</v>
      </c>
      <c r="HC5" s="106">
        <f t="shared" si="3"/>
        <v>46502</v>
      </c>
      <c r="HD5" s="106">
        <f t="shared" si="3"/>
        <v>46503</v>
      </c>
      <c r="HE5" s="106">
        <f t="shared" si="3"/>
        <v>46504</v>
      </c>
      <c r="HF5" s="106">
        <f t="shared" si="3"/>
        <v>46505</v>
      </c>
      <c r="HG5" s="106">
        <f t="shared" si="3"/>
        <v>46506</v>
      </c>
      <c r="HH5" s="106">
        <f t="shared" si="3"/>
        <v>46507</v>
      </c>
    </row>
    <row r="6" spans="1:216" x14ac:dyDescent="0.2">
      <c r="A6" s="72" t="s">
        <v>243</v>
      </c>
      <c r="B6" s="72" t="s">
        <v>244</v>
      </c>
      <c r="C6" s="72" t="s">
        <v>245</v>
      </c>
      <c r="D6" s="85" t="s">
        <v>246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</row>
    <row r="7" spans="1:216" x14ac:dyDescent="0.2">
      <c r="A7" s="82" t="str">
        <f>'FY1 Event Pipeline'!A4</f>
        <v>Saadiyat Nights</v>
      </c>
      <c r="B7" s="83">
        <f>_xlfn.XLOOKUP(A7,'FY1 Event Pipeline'!$A$4:$A$15,'FY1 Event Pipeline'!$H$4:$H$15)</f>
        <v>46297</v>
      </c>
      <c r="C7" s="83">
        <f>_xlfn.XLOOKUP(A7,'FY1 Event Pipeline'!$A$4:$A$15,'FY1 Event Pipeline'!$J$4:$J$15)</f>
        <v>46453</v>
      </c>
      <c r="D7" s="84">
        <f>_xlfn.XLOOKUP(A7,'FY1 Event Pipeline'!$A$4:$A$15,'FY1 Event Pipeline'!$N$4:$N$15)</f>
        <v>10</v>
      </c>
      <c r="E7" s="74" t="str">
        <f t="shared" ref="E7:N18" si="4">IF(AND(E$5&gt;=$B7,E$5&lt;=$C7),$D7,"")</f>
        <v/>
      </c>
      <c r="F7" s="75">
        <f t="shared" si="4"/>
        <v>10</v>
      </c>
      <c r="G7" s="75">
        <f t="shared" si="4"/>
        <v>10</v>
      </c>
      <c r="H7" s="75">
        <f t="shared" si="4"/>
        <v>10</v>
      </c>
      <c r="I7" s="75">
        <f t="shared" si="4"/>
        <v>10</v>
      </c>
      <c r="J7" s="75">
        <f t="shared" si="4"/>
        <v>10</v>
      </c>
      <c r="K7" s="75">
        <f t="shared" si="4"/>
        <v>10</v>
      </c>
      <c r="L7" s="75">
        <f t="shared" si="4"/>
        <v>10</v>
      </c>
      <c r="M7" s="75">
        <f t="shared" si="4"/>
        <v>10</v>
      </c>
      <c r="N7" s="75">
        <f t="shared" si="4"/>
        <v>10</v>
      </c>
      <c r="O7" s="75">
        <f t="shared" ref="O7:X18" si="5">IF(AND(O$5&gt;=$B7,O$5&lt;=$C7),$D7,"")</f>
        <v>10</v>
      </c>
      <c r="P7" s="75">
        <f t="shared" si="5"/>
        <v>10</v>
      </c>
      <c r="Q7" s="75">
        <f t="shared" si="5"/>
        <v>10</v>
      </c>
      <c r="R7" s="75">
        <f t="shared" si="5"/>
        <v>10</v>
      </c>
      <c r="S7" s="75">
        <f t="shared" si="5"/>
        <v>10</v>
      </c>
      <c r="T7" s="75">
        <f t="shared" si="5"/>
        <v>10</v>
      </c>
      <c r="U7" s="75">
        <f t="shared" si="5"/>
        <v>10</v>
      </c>
      <c r="V7" s="75">
        <f t="shared" si="5"/>
        <v>10</v>
      </c>
      <c r="W7" s="75">
        <f t="shared" si="5"/>
        <v>10</v>
      </c>
      <c r="X7" s="75">
        <f t="shared" si="5"/>
        <v>10</v>
      </c>
      <c r="Y7" s="75">
        <f t="shared" ref="Y7:AH18" si="6">IF(AND(Y$5&gt;=$B7,Y$5&lt;=$C7),$D7,"")</f>
        <v>10</v>
      </c>
      <c r="Z7" s="75">
        <f t="shared" si="6"/>
        <v>10</v>
      </c>
      <c r="AA7" s="75">
        <f t="shared" si="6"/>
        <v>10</v>
      </c>
      <c r="AB7" s="75">
        <f t="shared" si="6"/>
        <v>10</v>
      </c>
      <c r="AC7" s="75">
        <f t="shared" si="6"/>
        <v>10</v>
      </c>
      <c r="AD7" s="75">
        <f t="shared" si="6"/>
        <v>10</v>
      </c>
      <c r="AE7" s="75">
        <f t="shared" si="6"/>
        <v>10</v>
      </c>
      <c r="AF7" s="75">
        <f t="shared" si="6"/>
        <v>10</v>
      </c>
      <c r="AG7" s="75">
        <f t="shared" si="6"/>
        <v>10</v>
      </c>
      <c r="AH7" s="75">
        <f t="shared" si="6"/>
        <v>10</v>
      </c>
      <c r="AI7" s="75">
        <f t="shared" ref="AI7:AR18" si="7">IF(AND(AI$5&gt;=$B7,AI$5&lt;=$C7),$D7,"")</f>
        <v>10</v>
      </c>
      <c r="AJ7" s="76">
        <f t="shared" si="7"/>
        <v>10</v>
      </c>
      <c r="AK7" s="76">
        <f t="shared" si="7"/>
        <v>10</v>
      </c>
      <c r="AL7" s="76">
        <f t="shared" si="7"/>
        <v>10</v>
      </c>
      <c r="AM7" s="76">
        <f t="shared" si="7"/>
        <v>10</v>
      </c>
      <c r="AN7" s="76">
        <f t="shared" si="7"/>
        <v>10</v>
      </c>
      <c r="AO7" s="76">
        <f t="shared" si="7"/>
        <v>10</v>
      </c>
      <c r="AP7" s="76">
        <f t="shared" si="7"/>
        <v>10</v>
      </c>
      <c r="AQ7" s="76">
        <f t="shared" si="7"/>
        <v>10</v>
      </c>
      <c r="AR7" s="76">
        <f t="shared" si="7"/>
        <v>10</v>
      </c>
      <c r="AS7" s="76">
        <f t="shared" ref="AS7:BB18" si="8">IF(AND(AS$5&gt;=$B7,AS$5&lt;=$C7),$D7,"")</f>
        <v>10</v>
      </c>
      <c r="AT7" s="76">
        <f t="shared" si="8"/>
        <v>10</v>
      </c>
      <c r="AU7" s="76">
        <f t="shared" si="8"/>
        <v>10</v>
      </c>
      <c r="AV7" s="76">
        <f t="shared" si="8"/>
        <v>10</v>
      </c>
      <c r="AW7" s="76">
        <f t="shared" si="8"/>
        <v>10</v>
      </c>
      <c r="AX7" s="76">
        <f t="shared" si="8"/>
        <v>10</v>
      </c>
      <c r="AY7" s="76">
        <f t="shared" si="8"/>
        <v>10</v>
      </c>
      <c r="AZ7" s="76">
        <f t="shared" si="8"/>
        <v>10</v>
      </c>
      <c r="BA7" s="76">
        <f t="shared" si="8"/>
        <v>10</v>
      </c>
      <c r="BB7" s="76">
        <f t="shared" si="8"/>
        <v>10</v>
      </c>
      <c r="BC7" s="76">
        <f t="shared" ref="BC7:BL18" si="9">IF(AND(BC$5&gt;=$B7,BC$5&lt;=$C7),$D7,"")</f>
        <v>10</v>
      </c>
      <c r="BD7" s="76">
        <f t="shared" si="9"/>
        <v>10</v>
      </c>
      <c r="BE7" s="76">
        <f t="shared" si="9"/>
        <v>10</v>
      </c>
      <c r="BF7" s="76">
        <f t="shared" si="9"/>
        <v>10</v>
      </c>
      <c r="BG7" s="76">
        <f t="shared" si="9"/>
        <v>10</v>
      </c>
      <c r="BH7" s="76">
        <f t="shared" si="9"/>
        <v>10</v>
      </c>
      <c r="BI7" s="76">
        <f t="shared" si="9"/>
        <v>10</v>
      </c>
      <c r="BJ7" s="76">
        <f t="shared" si="9"/>
        <v>10</v>
      </c>
      <c r="BK7" s="76">
        <f t="shared" si="9"/>
        <v>10</v>
      </c>
      <c r="BL7" s="76">
        <f t="shared" si="9"/>
        <v>10</v>
      </c>
      <c r="BM7" s="76">
        <f t="shared" ref="BM7:BV18" si="10">IF(AND(BM$5&gt;=$B7,BM$5&lt;=$C7),$D7,"")</f>
        <v>10</v>
      </c>
      <c r="BN7" s="76">
        <f t="shared" si="10"/>
        <v>10</v>
      </c>
      <c r="BO7" s="76">
        <f t="shared" si="10"/>
        <v>10</v>
      </c>
      <c r="BP7" s="76">
        <f t="shared" si="10"/>
        <v>10</v>
      </c>
      <c r="BQ7" s="76">
        <f t="shared" si="10"/>
        <v>10</v>
      </c>
      <c r="BR7" s="76">
        <f t="shared" si="10"/>
        <v>10</v>
      </c>
      <c r="BS7" s="76">
        <f t="shared" si="10"/>
        <v>10</v>
      </c>
      <c r="BT7" s="76">
        <f t="shared" si="10"/>
        <v>10</v>
      </c>
      <c r="BU7" s="76">
        <f t="shared" si="10"/>
        <v>10</v>
      </c>
      <c r="BV7" s="76">
        <f t="shared" si="10"/>
        <v>10</v>
      </c>
      <c r="BW7" s="76">
        <f t="shared" ref="BW7:CF18" si="11">IF(AND(BW$5&gt;=$B7,BW$5&lt;=$C7),$D7,"")</f>
        <v>10</v>
      </c>
      <c r="BX7" s="76">
        <f t="shared" si="11"/>
        <v>10</v>
      </c>
      <c r="BY7" s="76">
        <f t="shared" si="11"/>
        <v>10</v>
      </c>
      <c r="BZ7" s="76">
        <f t="shared" si="11"/>
        <v>10</v>
      </c>
      <c r="CA7" s="76">
        <f t="shared" si="11"/>
        <v>10</v>
      </c>
      <c r="CB7" s="76">
        <f t="shared" si="11"/>
        <v>10</v>
      </c>
      <c r="CC7" s="76">
        <f t="shared" si="11"/>
        <v>10</v>
      </c>
      <c r="CD7" s="76">
        <f t="shared" si="11"/>
        <v>10</v>
      </c>
      <c r="CE7" s="76">
        <f t="shared" si="11"/>
        <v>10</v>
      </c>
      <c r="CF7" s="76">
        <f t="shared" si="11"/>
        <v>10</v>
      </c>
      <c r="CG7" s="76">
        <f t="shared" ref="CG7:CP18" si="12">IF(AND(CG$5&gt;=$B7,CG$5&lt;=$C7),$D7,"")</f>
        <v>10</v>
      </c>
      <c r="CH7" s="76">
        <f t="shared" si="12"/>
        <v>10</v>
      </c>
      <c r="CI7" s="76">
        <f t="shared" si="12"/>
        <v>10</v>
      </c>
      <c r="CJ7" s="76">
        <f t="shared" si="12"/>
        <v>10</v>
      </c>
      <c r="CK7" s="76">
        <f t="shared" si="12"/>
        <v>10</v>
      </c>
      <c r="CL7" s="76">
        <f t="shared" si="12"/>
        <v>10</v>
      </c>
      <c r="CM7" s="76">
        <f t="shared" si="12"/>
        <v>10</v>
      </c>
      <c r="CN7" s="76">
        <f t="shared" si="12"/>
        <v>10</v>
      </c>
      <c r="CO7" s="76">
        <f t="shared" si="12"/>
        <v>10</v>
      </c>
      <c r="CP7" s="76">
        <f t="shared" si="12"/>
        <v>10</v>
      </c>
      <c r="CQ7" s="76">
        <f t="shared" ref="CQ7:CZ18" si="13">IF(AND(CQ$5&gt;=$B7,CQ$5&lt;=$C7),$D7,"")</f>
        <v>10</v>
      </c>
      <c r="CR7" s="76">
        <f t="shared" si="13"/>
        <v>10</v>
      </c>
      <c r="CS7" s="76">
        <f t="shared" si="13"/>
        <v>10</v>
      </c>
      <c r="CT7" s="76">
        <f t="shared" si="13"/>
        <v>10</v>
      </c>
      <c r="CU7" s="76">
        <f t="shared" si="13"/>
        <v>10</v>
      </c>
      <c r="CV7" s="76">
        <f t="shared" si="13"/>
        <v>10</v>
      </c>
      <c r="CW7" s="76">
        <f t="shared" si="13"/>
        <v>10</v>
      </c>
      <c r="CX7" s="76">
        <f t="shared" si="13"/>
        <v>10</v>
      </c>
      <c r="CY7" s="76">
        <f t="shared" si="13"/>
        <v>10</v>
      </c>
      <c r="CZ7" s="76">
        <f t="shared" si="13"/>
        <v>10</v>
      </c>
      <c r="DA7" s="76">
        <f t="shared" ref="DA7:DJ18" si="14">IF(AND(DA$5&gt;=$B7,DA$5&lt;=$C7),$D7,"")</f>
        <v>10</v>
      </c>
      <c r="DB7" s="76">
        <f t="shared" si="14"/>
        <v>10</v>
      </c>
      <c r="DC7" s="76">
        <f t="shared" si="14"/>
        <v>10</v>
      </c>
      <c r="DD7" s="76">
        <f t="shared" si="14"/>
        <v>10</v>
      </c>
      <c r="DE7" s="76">
        <f t="shared" si="14"/>
        <v>10</v>
      </c>
      <c r="DF7" s="76">
        <f t="shared" si="14"/>
        <v>10</v>
      </c>
      <c r="DG7" s="76">
        <f t="shared" si="14"/>
        <v>10</v>
      </c>
      <c r="DH7" s="76">
        <f t="shared" si="14"/>
        <v>10</v>
      </c>
      <c r="DI7" s="76">
        <f t="shared" si="14"/>
        <v>10</v>
      </c>
      <c r="DJ7" s="76">
        <f t="shared" si="14"/>
        <v>10</v>
      </c>
      <c r="DK7" s="76">
        <f t="shared" ref="DK7:DT18" si="15">IF(AND(DK$5&gt;=$B7,DK$5&lt;=$C7),$D7,"")</f>
        <v>10</v>
      </c>
      <c r="DL7" s="76">
        <f t="shared" si="15"/>
        <v>10</v>
      </c>
      <c r="DM7" s="76">
        <f t="shared" si="15"/>
        <v>10</v>
      </c>
      <c r="DN7" s="76">
        <f t="shared" si="15"/>
        <v>10</v>
      </c>
      <c r="DO7" s="76">
        <f t="shared" si="15"/>
        <v>10</v>
      </c>
      <c r="DP7" s="76">
        <f t="shared" si="15"/>
        <v>10</v>
      </c>
      <c r="DQ7" s="76">
        <f t="shared" si="15"/>
        <v>10</v>
      </c>
      <c r="DR7" s="76">
        <f t="shared" si="15"/>
        <v>10</v>
      </c>
      <c r="DS7" s="76">
        <f t="shared" si="15"/>
        <v>10</v>
      </c>
      <c r="DT7" s="76">
        <f t="shared" si="15"/>
        <v>10</v>
      </c>
      <c r="DU7" s="76">
        <f t="shared" ref="DU7:ED18" si="16">IF(AND(DU$5&gt;=$B7,DU$5&lt;=$C7),$D7,"")</f>
        <v>10</v>
      </c>
      <c r="DV7" s="76">
        <f t="shared" si="16"/>
        <v>10</v>
      </c>
      <c r="DW7" s="76">
        <f t="shared" si="16"/>
        <v>10</v>
      </c>
      <c r="DX7" s="76">
        <f t="shared" si="16"/>
        <v>10</v>
      </c>
      <c r="DY7" s="76">
        <f t="shared" si="16"/>
        <v>10</v>
      </c>
      <c r="DZ7" s="76">
        <f t="shared" si="16"/>
        <v>10</v>
      </c>
      <c r="EA7" s="76">
        <f t="shared" si="16"/>
        <v>10</v>
      </c>
      <c r="EB7" s="76">
        <f t="shared" si="16"/>
        <v>10</v>
      </c>
      <c r="EC7" s="76">
        <f t="shared" si="16"/>
        <v>10</v>
      </c>
      <c r="ED7" s="76">
        <f t="shared" si="16"/>
        <v>10</v>
      </c>
      <c r="EE7" s="76">
        <f t="shared" ref="EE7:EN18" si="17">IF(AND(EE$5&gt;=$B7,EE$5&lt;=$C7),$D7,"")</f>
        <v>10</v>
      </c>
      <c r="EF7" s="76">
        <f t="shared" si="17"/>
        <v>10</v>
      </c>
      <c r="EG7" s="76">
        <f t="shared" si="17"/>
        <v>10</v>
      </c>
      <c r="EH7" s="76">
        <f t="shared" si="17"/>
        <v>10</v>
      </c>
      <c r="EI7" s="76">
        <f t="shared" si="17"/>
        <v>10</v>
      </c>
      <c r="EJ7" s="76">
        <f t="shared" si="17"/>
        <v>10</v>
      </c>
      <c r="EK7" s="76">
        <f t="shared" si="17"/>
        <v>10</v>
      </c>
      <c r="EL7" s="76">
        <f t="shared" si="17"/>
        <v>10</v>
      </c>
      <c r="EM7" s="76">
        <f t="shared" si="17"/>
        <v>10</v>
      </c>
      <c r="EN7" s="76">
        <f t="shared" si="17"/>
        <v>10</v>
      </c>
      <c r="EO7" s="76">
        <f t="shared" ref="EO7:EX18" si="18">IF(AND(EO$5&gt;=$B7,EO$5&lt;=$C7),$D7,"")</f>
        <v>10</v>
      </c>
      <c r="EP7" s="76">
        <f t="shared" si="18"/>
        <v>10</v>
      </c>
      <c r="EQ7" s="76">
        <f t="shared" si="18"/>
        <v>10</v>
      </c>
      <c r="ER7" s="76">
        <f t="shared" si="18"/>
        <v>10</v>
      </c>
      <c r="ES7" s="76">
        <f t="shared" si="18"/>
        <v>10</v>
      </c>
      <c r="ET7" s="76">
        <f t="shared" si="18"/>
        <v>10</v>
      </c>
      <c r="EU7" s="76">
        <f t="shared" si="18"/>
        <v>10</v>
      </c>
      <c r="EV7" s="76">
        <f t="shared" si="18"/>
        <v>10</v>
      </c>
      <c r="EW7" s="76">
        <f t="shared" si="18"/>
        <v>10</v>
      </c>
      <c r="EX7" s="76">
        <f t="shared" si="18"/>
        <v>10</v>
      </c>
      <c r="EY7" s="76">
        <f t="shared" ref="EY7:FH18" si="19">IF(AND(EY$5&gt;=$B7,EY$5&lt;=$C7),$D7,"")</f>
        <v>10</v>
      </c>
      <c r="EZ7" s="77">
        <f t="shared" si="19"/>
        <v>10</v>
      </c>
      <c r="FA7" s="77">
        <f t="shared" si="19"/>
        <v>10</v>
      </c>
      <c r="FB7" s="77">
        <f t="shared" si="19"/>
        <v>10</v>
      </c>
      <c r="FC7" s="77">
        <f t="shared" si="19"/>
        <v>10</v>
      </c>
      <c r="FD7" s="77">
        <f t="shared" si="19"/>
        <v>10</v>
      </c>
      <c r="FE7" s="77">
        <f t="shared" si="19"/>
        <v>10</v>
      </c>
      <c r="FF7" s="77">
        <f t="shared" si="19"/>
        <v>10</v>
      </c>
      <c r="FG7" s="74" t="str">
        <f t="shared" si="19"/>
        <v/>
      </c>
      <c r="FH7" s="74" t="str">
        <f t="shared" si="19"/>
        <v/>
      </c>
      <c r="FI7" s="74" t="str">
        <f t="shared" ref="FI7:FR18" si="20">IF(AND(FI$5&gt;=$B7,FI$5&lt;=$C7),$D7,"")</f>
        <v/>
      </c>
      <c r="FJ7" s="74" t="str">
        <f t="shared" si="20"/>
        <v/>
      </c>
      <c r="FK7" s="74" t="str">
        <f t="shared" si="20"/>
        <v/>
      </c>
      <c r="FL7" s="78" t="str">
        <f t="shared" si="20"/>
        <v/>
      </c>
      <c r="FM7" s="78" t="str">
        <f t="shared" si="20"/>
        <v/>
      </c>
      <c r="FN7" s="74" t="str">
        <f t="shared" si="20"/>
        <v/>
      </c>
      <c r="FO7" s="74" t="str">
        <f t="shared" si="20"/>
        <v/>
      </c>
      <c r="FP7" s="74" t="str">
        <f t="shared" si="20"/>
        <v/>
      </c>
      <c r="FQ7" s="74" t="str">
        <f t="shared" si="20"/>
        <v/>
      </c>
      <c r="FR7" s="74" t="str">
        <f t="shared" si="20"/>
        <v/>
      </c>
      <c r="FS7" s="78" t="str">
        <f t="shared" ref="FS7:GB18" si="21">IF(AND(FS$5&gt;=$B7,FS$5&lt;=$C7),$D7,"")</f>
        <v/>
      </c>
      <c r="FT7" s="78" t="str">
        <f t="shared" si="21"/>
        <v/>
      </c>
      <c r="FU7" s="74" t="str">
        <f t="shared" si="21"/>
        <v/>
      </c>
      <c r="FV7" s="74" t="str">
        <f t="shared" si="21"/>
        <v/>
      </c>
      <c r="FW7" s="74" t="str">
        <f t="shared" si="21"/>
        <v/>
      </c>
      <c r="FX7" s="74" t="str">
        <f t="shared" si="21"/>
        <v/>
      </c>
      <c r="FY7" s="74" t="str">
        <f t="shared" si="21"/>
        <v/>
      </c>
      <c r="FZ7" s="78" t="str">
        <f t="shared" si="21"/>
        <v/>
      </c>
      <c r="GA7" s="78" t="str">
        <f t="shared" si="21"/>
        <v/>
      </c>
      <c r="GB7" s="74" t="str">
        <f t="shared" si="21"/>
        <v/>
      </c>
      <c r="GC7" s="74" t="str">
        <f t="shared" ref="GC7:GL18" si="22">IF(AND(GC$5&gt;=$B7,GC$5&lt;=$C7),$D7,"")</f>
        <v/>
      </c>
      <c r="GD7" s="74" t="str">
        <f t="shared" si="22"/>
        <v/>
      </c>
      <c r="GE7" s="74" t="str">
        <f t="shared" si="22"/>
        <v/>
      </c>
      <c r="GF7" s="74" t="str">
        <f t="shared" si="22"/>
        <v/>
      </c>
      <c r="GG7" s="78" t="str">
        <f t="shared" si="22"/>
        <v/>
      </c>
      <c r="GH7" s="78" t="str">
        <f t="shared" si="22"/>
        <v/>
      </c>
      <c r="GI7" s="74" t="str">
        <f t="shared" si="22"/>
        <v/>
      </c>
      <c r="GJ7" s="74" t="str">
        <f t="shared" si="22"/>
        <v/>
      </c>
      <c r="GK7" s="74" t="str">
        <f t="shared" si="22"/>
        <v/>
      </c>
      <c r="GL7" s="74" t="str">
        <f t="shared" si="22"/>
        <v/>
      </c>
      <c r="GM7" s="74" t="str">
        <f t="shared" ref="GM7:GV18" si="23">IF(AND(GM$5&gt;=$B7,GM$5&lt;=$C7),$D7,"")</f>
        <v/>
      </c>
      <c r="GN7" s="78" t="str">
        <f t="shared" si="23"/>
        <v/>
      </c>
      <c r="GO7" s="78" t="str">
        <f t="shared" si="23"/>
        <v/>
      </c>
      <c r="GP7" s="74" t="str">
        <f t="shared" si="23"/>
        <v/>
      </c>
      <c r="GQ7" s="74" t="str">
        <f t="shared" si="23"/>
        <v/>
      </c>
      <c r="GR7" s="74" t="str">
        <f t="shared" si="23"/>
        <v/>
      </c>
      <c r="GS7" s="74" t="str">
        <f t="shared" si="23"/>
        <v/>
      </c>
      <c r="GT7" s="74" t="str">
        <f t="shared" si="23"/>
        <v/>
      </c>
      <c r="GU7" s="78" t="str">
        <f t="shared" si="23"/>
        <v/>
      </c>
      <c r="GV7" s="78" t="str">
        <f t="shared" si="23"/>
        <v/>
      </c>
      <c r="GW7" s="74" t="str">
        <f t="shared" ref="GW7:HH18" si="24">IF(AND(GW$5&gt;=$B7,GW$5&lt;=$C7),$D7,"")</f>
        <v/>
      </c>
      <c r="GX7" s="74" t="str">
        <f t="shared" si="24"/>
        <v/>
      </c>
      <c r="GY7" s="74" t="str">
        <f t="shared" si="24"/>
        <v/>
      </c>
      <c r="GZ7" s="74" t="str">
        <f t="shared" si="24"/>
        <v/>
      </c>
      <c r="HA7" s="74" t="str">
        <f t="shared" si="24"/>
        <v/>
      </c>
      <c r="HB7" s="78" t="str">
        <f t="shared" si="24"/>
        <v/>
      </c>
      <c r="HC7" s="78" t="str">
        <f t="shared" si="24"/>
        <v/>
      </c>
      <c r="HD7" s="74" t="str">
        <f t="shared" si="24"/>
        <v/>
      </c>
      <c r="HE7" s="74" t="str">
        <f t="shared" si="24"/>
        <v/>
      </c>
      <c r="HF7" s="74" t="str">
        <f t="shared" si="24"/>
        <v/>
      </c>
      <c r="HG7" s="74" t="str">
        <f t="shared" si="24"/>
        <v/>
      </c>
      <c r="HH7" s="74" t="str">
        <f t="shared" si="24"/>
        <v/>
      </c>
    </row>
    <row r="8" spans="1:216" x14ac:dyDescent="0.2">
      <c r="A8" s="82" t="str">
        <f>'FY1 Event Pipeline'!A5</f>
        <v>BRED X</v>
      </c>
      <c r="B8" s="83">
        <f>_xlfn.XLOOKUP(A8,'FY1 Event Pipeline'!$A$4:$A$15,'FY1 Event Pipeline'!$H$4:$H$15)</f>
        <v>46318</v>
      </c>
      <c r="C8" s="83">
        <f>_xlfn.XLOOKUP(A8,'FY1 Event Pipeline'!$A$4:$A$15,'FY1 Event Pipeline'!$J$4:$J$15)</f>
        <v>46339</v>
      </c>
      <c r="D8" s="84">
        <f>_xlfn.XLOOKUP(A8,'FY1 Event Pipeline'!$A$4:$A$15,'FY1 Event Pipeline'!$N$4:$N$15)</f>
        <v>8</v>
      </c>
      <c r="E8" s="74" t="str">
        <f t="shared" si="4"/>
        <v/>
      </c>
      <c r="F8" s="74" t="str">
        <f t="shared" si="4"/>
        <v/>
      </c>
      <c r="G8" s="78" t="str">
        <f t="shared" si="4"/>
        <v/>
      </c>
      <c r="H8" s="78" t="str">
        <f t="shared" si="4"/>
        <v/>
      </c>
      <c r="I8" s="74" t="str">
        <f t="shared" si="4"/>
        <v/>
      </c>
      <c r="J8" s="74" t="str">
        <f t="shared" si="4"/>
        <v/>
      </c>
      <c r="K8" s="74" t="str">
        <f t="shared" si="4"/>
        <v/>
      </c>
      <c r="L8" s="74" t="str">
        <f t="shared" si="4"/>
        <v/>
      </c>
      <c r="M8" s="74" t="str">
        <f t="shared" si="4"/>
        <v/>
      </c>
      <c r="N8" s="78" t="str">
        <f t="shared" si="4"/>
        <v/>
      </c>
      <c r="O8" s="78" t="str">
        <f t="shared" si="5"/>
        <v/>
      </c>
      <c r="P8" s="74" t="str">
        <f t="shared" si="5"/>
        <v/>
      </c>
      <c r="Q8" s="74" t="str">
        <f t="shared" si="5"/>
        <v/>
      </c>
      <c r="R8" s="74" t="str">
        <f t="shared" si="5"/>
        <v/>
      </c>
      <c r="S8" s="74" t="str">
        <f t="shared" si="5"/>
        <v/>
      </c>
      <c r="T8" s="74" t="str">
        <f t="shared" si="5"/>
        <v/>
      </c>
      <c r="U8" s="78" t="str">
        <f t="shared" si="5"/>
        <v/>
      </c>
      <c r="V8" s="78" t="str">
        <f t="shared" si="5"/>
        <v/>
      </c>
      <c r="W8" s="74" t="str">
        <f t="shared" si="5"/>
        <v/>
      </c>
      <c r="X8" s="74" t="str">
        <f t="shared" si="5"/>
        <v/>
      </c>
      <c r="Y8" s="74" t="str">
        <f t="shared" si="6"/>
        <v/>
      </c>
      <c r="Z8" s="74" t="str">
        <f t="shared" si="6"/>
        <v/>
      </c>
      <c r="AA8" s="75">
        <f t="shared" si="6"/>
        <v>8</v>
      </c>
      <c r="AB8" s="75">
        <f t="shared" si="6"/>
        <v>8</v>
      </c>
      <c r="AC8" s="75">
        <f t="shared" si="6"/>
        <v>8</v>
      </c>
      <c r="AD8" s="75">
        <f t="shared" si="6"/>
        <v>8</v>
      </c>
      <c r="AE8" s="75">
        <f t="shared" si="6"/>
        <v>8</v>
      </c>
      <c r="AF8" s="75">
        <f t="shared" si="6"/>
        <v>8</v>
      </c>
      <c r="AG8" s="75">
        <f t="shared" si="6"/>
        <v>8</v>
      </c>
      <c r="AH8" s="75">
        <f t="shared" si="6"/>
        <v>8</v>
      </c>
      <c r="AI8" s="75">
        <f t="shared" si="7"/>
        <v>8</v>
      </c>
      <c r="AJ8" s="75">
        <f t="shared" si="7"/>
        <v>8</v>
      </c>
      <c r="AK8" s="75">
        <f t="shared" si="7"/>
        <v>8</v>
      </c>
      <c r="AL8" s="75">
        <f t="shared" si="7"/>
        <v>8</v>
      </c>
      <c r="AM8" s="75">
        <f t="shared" si="7"/>
        <v>8</v>
      </c>
      <c r="AN8" s="75">
        <f t="shared" si="7"/>
        <v>8</v>
      </c>
      <c r="AO8" s="76">
        <f t="shared" si="7"/>
        <v>8</v>
      </c>
      <c r="AP8" s="76">
        <f t="shared" si="7"/>
        <v>8</v>
      </c>
      <c r="AQ8" s="76">
        <f t="shared" si="7"/>
        <v>8</v>
      </c>
      <c r="AR8" s="76">
        <f t="shared" si="7"/>
        <v>8</v>
      </c>
      <c r="AS8" s="76">
        <f t="shared" si="8"/>
        <v>8</v>
      </c>
      <c r="AT8" s="77">
        <f t="shared" si="8"/>
        <v>8</v>
      </c>
      <c r="AU8" s="77">
        <f t="shared" si="8"/>
        <v>8</v>
      </c>
      <c r="AV8" s="77">
        <f t="shared" si="8"/>
        <v>8</v>
      </c>
      <c r="AW8" s="78" t="str">
        <f t="shared" si="8"/>
        <v/>
      </c>
      <c r="AX8" s="78" t="str">
        <f t="shared" si="8"/>
        <v/>
      </c>
      <c r="AY8" s="74" t="str">
        <f t="shared" si="8"/>
        <v/>
      </c>
      <c r="AZ8" s="74" t="str">
        <f t="shared" si="8"/>
        <v/>
      </c>
      <c r="BA8" s="74" t="str">
        <f t="shared" si="8"/>
        <v/>
      </c>
      <c r="BB8" s="74" t="str">
        <f t="shared" si="8"/>
        <v/>
      </c>
      <c r="BC8" s="74" t="str">
        <f t="shared" si="9"/>
        <v/>
      </c>
      <c r="BD8" s="78" t="str">
        <f t="shared" si="9"/>
        <v/>
      </c>
      <c r="BE8" s="78" t="str">
        <f t="shared" si="9"/>
        <v/>
      </c>
      <c r="BF8" s="74" t="str">
        <f t="shared" si="9"/>
        <v/>
      </c>
      <c r="BG8" s="74" t="str">
        <f t="shared" si="9"/>
        <v/>
      </c>
      <c r="BH8" s="74" t="str">
        <f t="shared" si="9"/>
        <v/>
      </c>
      <c r="BI8" s="74" t="str">
        <f t="shared" si="9"/>
        <v/>
      </c>
      <c r="BJ8" s="74" t="str">
        <f t="shared" si="9"/>
        <v/>
      </c>
      <c r="BK8" s="78" t="str">
        <f t="shared" si="9"/>
        <v/>
      </c>
      <c r="BL8" s="78" t="str">
        <f t="shared" si="9"/>
        <v/>
      </c>
      <c r="BM8" s="74" t="str">
        <f t="shared" si="10"/>
        <v/>
      </c>
      <c r="BN8" s="74" t="str">
        <f t="shared" si="10"/>
        <v/>
      </c>
      <c r="BO8" s="74" t="str">
        <f t="shared" si="10"/>
        <v/>
      </c>
      <c r="BP8" s="74" t="str">
        <f t="shared" si="10"/>
        <v/>
      </c>
      <c r="BQ8" s="74" t="str">
        <f t="shared" si="10"/>
        <v/>
      </c>
      <c r="BR8" s="78" t="str">
        <f t="shared" si="10"/>
        <v/>
      </c>
      <c r="BS8" s="78" t="str">
        <f t="shared" si="10"/>
        <v/>
      </c>
      <c r="BT8" s="74" t="str">
        <f t="shared" si="10"/>
        <v/>
      </c>
      <c r="BU8" s="74" t="str">
        <f t="shared" si="10"/>
        <v/>
      </c>
      <c r="BV8" s="74" t="str">
        <f t="shared" si="10"/>
        <v/>
      </c>
      <c r="BW8" s="74" t="str">
        <f t="shared" si="11"/>
        <v/>
      </c>
      <c r="BX8" s="74" t="str">
        <f t="shared" si="11"/>
        <v/>
      </c>
      <c r="BY8" s="78" t="str">
        <f t="shared" si="11"/>
        <v/>
      </c>
      <c r="BZ8" s="78" t="str">
        <f t="shared" si="11"/>
        <v/>
      </c>
      <c r="CA8" s="74" t="str">
        <f t="shared" si="11"/>
        <v/>
      </c>
      <c r="CB8" s="74" t="str">
        <f t="shared" si="11"/>
        <v/>
      </c>
      <c r="CC8" s="74" t="str">
        <f t="shared" si="11"/>
        <v/>
      </c>
      <c r="CD8" s="74" t="str">
        <f t="shared" si="11"/>
        <v/>
      </c>
      <c r="CE8" s="74" t="str">
        <f t="shared" si="11"/>
        <v/>
      </c>
      <c r="CF8" s="78" t="str">
        <f t="shared" si="11"/>
        <v/>
      </c>
      <c r="CG8" s="78" t="str">
        <f t="shared" si="12"/>
        <v/>
      </c>
      <c r="CH8" s="74" t="str">
        <f t="shared" si="12"/>
        <v/>
      </c>
      <c r="CI8" s="74" t="str">
        <f t="shared" si="12"/>
        <v/>
      </c>
      <c r="CJ8" s="74" t="str">
        <f t="shared" si="12"/>
        <v/>
      </c>
      <c r="CK8" s="74" t="str">
        <f t="shared" si="12"/>
        <v/>
      </c>
      <c r="CL8" s="74" t="str">
        <f t="shared" si="12"/>
        <v/>
      </c>
      <c r="CM8" s="78" t="str">
        <f t="shared" si="12"/>
        <v/>
      </c>
      <c r="CN8" s="78" t="str">
        <f t="shared" si="12"/>
        <v/>
      </c>
      <c r="CO8" s="74" t="str">
        <f t="shared" si="12"/>
        <v/>
      </c>
      <c r="CP8" s="74" t="str">
        <f t="shared" si="12"/>
        <v/>
      </c>
      <c r="CQ8" s="74" t="str">
        <f t="shared" si="13"/>
        <v/>
      </c>
      <c r="CR8" s="74" t="str">
        <f t="shared" si="13"/>
        <v/>
      </c>
      <c r="CS8" s="74" t="str">
        <f t="shared" si="13"/>
        <v/>
      </c>
      <c r="CT8" s="78" t="str">
        <f t="shared" si="13"/>
        <v/>
      </c>
      <c r="CU8" s="78" t="str">
        <f t="shared" si="13"/>
        <v/>
      </c>
      <c r="CV8" s="74" t="str">
        <f t="shared" si="13"/>
        <v/>
      </c>
      <c r="CW8" s="74" t="str">
        <f t="shared" si="13"/>
        <v/>
      </c>
      <c r="CX8" s="74" t="str">
        <f t="shared" si="13"/>
        <v/>
      </c>
      <c r="CY8" s="74" t="str">
        <f t="shared" si="13"/>
        <v/>
      </c>
      <c r="CZ8" s="74" t="str">
        <f t="shared" si="13"/>
        <v/>
      </c>
      <c r="DA8" s="78" t="str">
        <f t="shared" si="14"/>
        <v/>
      </c>
      <c r="DB8" s="78" t="str">
        <f t="shared" si="14"/>
        <v/>
      </c>
      <c r="DC8" s="74" t="str">
        <f t="shared" si="14"/>
        <v/>
      </c>
      <c r="DD8" s="74" t="str">
        <f t="shared" si="14"/>
        <v/>
      </c>
      <c r="DE8" s="74" t="str">
        <f t="shared" si="14"/>
        <v/>
      </c>
      <c r="DF8" s="74" t="str">
        <f t="shared" si="14"/>
        <v/>
      </c>
      <c r="DG8" s="74" t="str">
        <f t="shared" si="14"/>
        <v/>
      </c>
      <c r="DH8" s="78" t="str">
        <f t="shared" si="14"/>
        <v/>
      </c>
      <c r="DI8" s="78" t="str">
        <f t="shared" si="14"/>
        <v/>
      </c>
      <c r="DJ8" s="74" t="str">
        <f t="shared" si="14"/>
        <v/>
      </c>
      <c r="DK8" s="74" t="str">
        <f t="shared" si="15"/>
        <v/>
      </c>
      <c r="DL8" s="74" t="str">
        <f t="shared" si="15"/>
        <v/>
      </c>
      <c r="DM8" s="74" t="str">
        <f t="shared" si="15"/>
        <v/>
      </c>
      <c r="DN8" s="74" t="str">
        <f t="shared" si="15"/>
        <v/>
      </c>
      <c r="DO8" s="78" t="str">
        <f t="shared" si="15"/>
        <v/>
      </c>
      <c r="DP8" s="78" t="str">
        <f t="shared" si="15"/>
        <v/>
      </c>
      <c r="DQ8" s="74" t="str">
        <f t="shared" si="15"/>
        <v/>
      </c>
      <c r="DR8" s="74" t="str">
        <f t="shared" si="15"/>
        <v/>
      </c>
      <c r="DS8" s="74" t="str">
        <f t="shared" si="15"/>
        <v/>
      </c>
      <c r="DT8" s="74" t="str">
        <f t="shared" si="15"/>
        <v/>
      </c>
      <c r="DU8" s="74" t="str">
        <f t="shared" si="16"/>
        <v/>
      </c>
      <c r="DV8" s="78" t="str">
        <f t="shared" si="16"/>
        <v/>
      </c>
      <c r="DW8" s="78" t="str">
        <f t="shared" si="16"/>
        <v/>
      </c>
      <c r="DX8" s="74" t="str">
        <f t="shared" si="16"/>
        <v/>
      </c>
      <c r="DY8" s="74" t="str">
        <f t="shared" si="16"/>
        <v/>
      </c>
      <c r="DZ8" s="74" t="str">
        <f t="shared" si="16"/>
        <v/>
      </c>
      <c r="EA8" s="74" t="str">
        <f t="shared" si="16"/>
        <v/>
      </c>
      <c r="EB8" s="74" t="str">
        <f t="shared" si="16"/>
        <v/>
      </c>
      <c r="EC8" s="78" t="str">
        <f t="shared" si="16"/>
        <v/>
      </c>
      <c r="ED8" s="78" t="str">
        <f t="shared" si="16"/>
        <v/>
      </c>
      <c r="EE8" s="74" t="str">
        <f t="shared" si="17"/>
        <v/>
      </c>
      <c r="EF8" s="74" t="str">
        <f t="shared" si="17"/>
        <v/>
      </c>
      <c r="EG8" s="74" t="str">
        <f t="shared" si="17"/>
        <v/>
      </c>
      <c r="EH8" s="74" t="str">
        <f t="shared" si="17"/>
        <v/>
      </c>
      <c r="EI8" s="74" t="str">
        <f t="shared" si="17"/>
        <v/>
      </c>
      <c r="EJ8" s="78" t="str">
        <f t="shared" si="17"/>
        <v/>
      </c>
      <c r="EK8" s="78" t="str">
        <f t="shared" si="17"/>
        <v/>
      </c>
      <c r="EL8" s="74" t="str">
        <f t="shared" si="17"/>
        <v/>
      </c>
      <c r="EM8" s="74" t="str">
        <f t="shared" si="17"/>
        <v/>
      </c>
      <c r="EN8" s="74" t="str">
        <f t="shared" si="17"/>
        <v/>
      </c>
      <c r="EO8" s="74" t="str">
        <f t="shared" si="18"/>
        <v/>
      </c>
      <c r="EP8" s="74" t="str">
        <f t="shared" si="18"/>
        <v/>
      </c>
      <c r="EQ8" s="78" t="str">
        <f t="shared" si="18"/>
        <v/>
      </c>
      <c r="ER8" s="78" t="str">
        <f t="shared" si="18"/>
        <v/>
      </c>
      <c r="ES8" s="74" t="str">
        <f t="shared" si="18"/>
        <v/>
      </c>
      <c r="ET8" s="74" t="str">
        <f t="shared" si="18"/>
        <v/>
      </c>
      <c r="EU8" s="74" t="str">
        <f t="shared" si="18"/>
        <v/>
      </c>
      <c r="EV8" s="74" t="str">
        <f t="shared" si="18"/>
        <v/>
      </c>
      <c r="EW8" s="74" t="str">
        <f t="shared" si="18"/>
        <v/>
      </c>
      <c r="EX8" s="78" t="str">
        <f t="shared" si="18"/>
        <v/>
      </c>
      <c r="EY8" s="78" t="str">
        <f t="shared" si="19"/>
        <v/>
      </c>
      <c r="EZ8" s="74" t="str">
        <f t="shared" si="19"/>
        <v/>
      </c>
      <c r="FA8" s="74" t="str">
        <f t="shared" si="19"/>
        <v/>
      </c>
      <c r="FB8" s="74" t="str">
        <f t="shared" si="19"/>
        <v/>
      </c>
      <c r="FC8" s="74" t="str">
        <f t="shared" si="19"/>
        <v/>
      </c>
      <c r="FD8" s="74" t="str">
        <f t="shared" si="19"/>
        <v/>
      </c>
      <c r="FE8" s="78" t="str">
        <f t="shared" si="19"/>
        <v/>
      </c>
      <c r="FF8" s="78" t="str">
        <f t="shared" si="19"/>
        <v/>
      </c>
      <c r="FG8" s="74" t="str">
        <f t="shared" si="19"/>
        <v/>
      </c>
      <c r="FH8" s="74" t="str">
        <f t="shared" si="19"/>
        <v/>
      </c>
      <c r="FI8" s="74" t="str">
        <f t="shared" si="20"/>
        <v/>
      </c>
      <c r="FJ8" s="74" t="str">
        <f t="shared" si="20"/>
        <v/>
      </c>
      <c r="FK8" s="74" t="str">
        <f t="shared" si="20"/>
        <v/>
      </c>
      <c r="FL8" s="78" t="str">
        <f t="shared" si="20"/>
        <v/>
      </c>
      <c r="FM8" s="78" t="str">
        <f t="shared" si="20"/>
        <v/>
      </c>
      <c r="FN8" s="74" t="str">
        <f t="shared" si="20"/>
        <v/>
      </c>
      <c r="FO8" s="74" t="str">
        <f t="shared" si="20"/>
        <v/>
      </c>
      <c r="FP8" s="74" t="str">
        <f t="shared" si="20"/>
        <v/>
      </c>
      <c r="FQ8" s="74" t="str">
        <f t="shared" si="20"/>
        <v/>
      </c>
      <c r="FR8" s="74" t="str">
        <f t="shared" si="20"/>
        <v/>
      </c>
      <c r="FS8" s="78" t="str">
        <f t="shared" si="21"/>
        <v/>
      </c>
      <c r="FT8" s="78" t="str">
        <f t="shared" si="21"/>
        <v/>
      </c>
      <c r="FU8" s="74" t="str">
        <f t="shared" si="21"/>
        <v/>
      </c>
      <c r="FV8" s="74" t="str">
        <f t="shared" si="21"/>
        <v/>
      </c>
      <c r="FW8" s="74" t="str">
        <f t="shared" si="21"/>
        <v/>
      </c>
      <c r="FX8" s="74" t="str">
        <f t="shared" si="21"/>
        <v/>
      </c>
      <c r="FY8" s="74" t="str">
        <f t="shared" si="21"/>
        <v/>
      </c>
      <c r="FZ8" s="78" t="str">
        <f t="shared" si="21"/>
        <v/>
      </c>
      <c r="GA8" s="78" t="str">
        <f t="shared" si="21"/>
        <v/>
      </c>
      <c r="GB8" s="74" t="str">
        <f t="shared" si="21"/>
        <v/>
      </c>
      <c r="GC8" s="74" t="str">
        <f t="shared" si="22"/>
        <v/>
      </c>
      <c r="GD8" s="74" t="str">
        <f t="shared" si="22"/>
        <v/>
      </c>
      <c r="GE8" s="74" t="str">
        <f t="shared" si="22"/>
        <v/>
      </c>
      <c r="GF8" s="74" t="str">
        <f t="shared" si="22"/>
        <v/>
      </c>
      <c r="GG8" s="78" t="str">
        <f t="shared" si="22"/>
        <v/>
      </c>
      <c r="GH8" s="78" t="str">
        <f t="shared" si="22"/>
        <v/>
      </c>
      <c r="GI8" s="74" t="str">
        <f t="shared" si="22"/>
        <v/>
      </c>
      <c r="GJ8" s="74" t="str">
        <f t="shared" si="22"/>
        <v/>
      </c>
      <c r="GK8" s="74" t="str">
        <f t="shared" si="22"/>
        <v/>
      </c>
      <c r="GL8" s="74" t="str">
        <f t="shared" si="22"/>
        <v/>
      </c>
      <c r="GM8" s="74" t="str">
        <f t="shared" si="23"/>
        <v/>
      </c>
      <c r="GN8" s="78" t="str">
        <f t="shared" si="23"/>
        <v/>
      </c>
      <c r="GO8" s="78" t="str">
        <f t="shared" si="23"/>
        <v/>
      </c>
      <c r="GP8" s="74" t="str">
        <f t="shared" si="23"/>
        <v/>
      </c>
      <c r="GQ8" s="74" t="str">
        <f t="shared" si="23"/>
        <v/>
      </c>
      <c r="GR8" s="74" t="str">
        <f t="shared" si="23"/>
        <v/>
      </c>
      <c r="GS8" s="74" t="str">
        <f t="shared" si="23"/>
        <v/>
      </c>
      <c r="GT8" s="74" t="str">
        <f t="shared" si="23"/>
        <v/>
      </c>
      <c r="GU8" s="78" t="str">
        <f t="shared" si="23"/>
        <v/>
      </c>
      <c r="GV8" s="78" t="str">
        <f t="shared" si="23"/>
        <v/>
      </c>
      <c r="GW8" s="74" t="str">
        <f t="shared" si="24"/>
        <v/>
      </c>
      <c r="GX8" s="74" t="str">
        <f t="shared" si="24"/>
        <v/>
      </c>
      <c r="GY8" s="74" t="str">
        <f t="shared" si="24"/>
        <v/>
      </c>
      <c r="GZ8" s="74" t="str">
        <f t="shared" si="24"/>
        <v/>
      </c>
      <c r="HA8" s="74" t="str">
        <f t="shared" si="24"/>
        <v/>
      </c>
      <c r="HB8" s="78" t="str">
        <f t="shared" si="24"/>
        <v/>
      </c>
      <c r="HC8" s="78" t="str">
        <f t="shared" si="24"/>
        <v/>
      </c>
      <c r="HD8" s="74" t="str">
        <f t="shared" si="24"/>
        <v/>
      </c>
      <c r="HE8" s="74" t="str">
        <f t="shared" si="24"/>
        <v/>
      </c>
      <c r="HF8" s="74" t="str">
        <f t="shared" si="24"/>
        <v/>
      </c>
      <c r="HG8" s="74" t="str">
        <f t="shared" si="24"/>
        <v/>
      </c>
      <c r="HH8" s="74" t="str">
        <f t="shared" si="24"/>
        <v/>
      </c>
    </row>
    <row r="9" spans="1:216" x14ac:dyDescent="0.2">
      <c r="A9" s="82" t="str">
        <f>'FY1 Event Pipeline'!A6</f>
        <v>MOTN DHA</v>
      </c>
      <c r="B9" s="83">
        <f>_xlfn.XLOOKUP(A9,'FY1 Event Pipeline'!$A$4:$A$15,'FY1 Event Pipeline'!$H$4:$H$15)</f>
        <v>46330</v>
      </c>
      <c r="C9" s="83">
        <f>_xlfn.XLOOKUP(A9,'FY1 Event Pipeline'!$A$4:$A$15,'FY1 Event Pipeline'!$J$4:$J$15)</f>
        <v>46352</v>
      </c>
      <c r="D9" s="84">
        <f>_xlfn.XLOOKUP(A9,'FY1 Event Pipeline'!$A$4:$A$15,'FY1 Event Pipeline'!$N$4:$N$15)</f>
        <v>8</v>
      </c>
      <c r="E9" s="74" t="str">
        <f t="shared" si="4"/>
        <v/>
      </c>
      <c r="F9" s="74" t="str">
        <f t="shared" si="4"/>
        <v/>
      </c>
      <c r="G9" s="78" t="str">
        <f t="shared" si="4"/>
        <v/>
      </c>
      <c r="H9" s="78" t="str">
        <f t="shared" si="4"/>
        <v/>
      </c>
      <c r="I9" s="74" t="str">
        <f t="shared" si="4"/>
        <v/>
      </c>
      <c r="J9" s="74" t="str">
        <f t="shared" si="4"/>
        <v/>
      </c>
      <c r="K9" s="74" t="str">
        <f t="shared" si="4"/>
        <v/>
      </c>
      <c r="L9" s="74" t="str">
        <f t="shared" si="4"/>
        <v/>
      </c>
      <c r="M9" s="74" t="str">
        <f t="shared" si="4"/>
        <v/>
      </c>
      <c r="N9" s="78" t="str">
        <f t="shared" si="4"/>
        <v/>
      </c>
      <c r="O9" s="78" t="str">
        <f t="shared" si="5"/>
        <v/>
      </c>
      <c r="P9" s="74" t="str">
        <f t="shared" si="5"/>
        <v/>
      </c>
      <c r="Q9" s="74" t="str">
        <f t="shared" si="5"/>
        <v/>
      </c>
      <c r="R9" s="74" t="str">
        <f t="shared" si="5"/>
        <v/>
      </c>
      <c r="S9" s="74" t="str">
        <f t="shared" si="5"/>
        <v/>
      </c>
      <c r="T9" s="74" t="str">
        <f t="shared" si="5"/>
        <v/>
      </c>
      <c r="U9" s="78" t="str">
        <f t="shared" si="5"/>
        <v/>
      </c>
      <c r="V9" s="78" t="str">
        <f t="shared" si="5"/>
        <v/>
      </c>
      <c r="W9" s="74" t="str">
        <f t="shared" si="5"/>
        <v/>
      </c>
      <c r="X9" s="74" t="str">
        <f t="shared" si="5"/>
        <v/>
      </c>
      <c r="Y9" s="74" t="str">
        <f t="shared" si="6"/>
        <v/>
      </c>
      <c r="Z9" s="74" t="str">
        <f t="shared" si="6"/>
        <v/>
      </c>
      <c r="AA9" s="74" t="str">
        <f t="shared" si="6"/>
        <v/>
      </c>
      <c r="AB9" s="78" t="str">
        <f t="shared" si="6"/>
        <v/>
      </c>
      <c r="AC9" s="78" t="str">
        <f t="shared" si="6"/>
        <v/>
      </c>
      <c r="AD9" s="74" t="str">
        <f t="shared" si="6"/>
        <v/>
      </c>
      <c r="AE9" s="74" t="str">
        <f t="shared" si="6"/>
        <v/>
      </c>
      <c r="AF9" s="74" t="str">
        <f t="shared" si="6"/>
        <v/>
      </c>
      <c r="AG9" s="74" t="str">
        <f t="shared" si="6"/>
        <v/>
      </c>
      <c r="AH9" s="74" t="str">
        <f t="shared" si="6"/>
        <v/>
      </c>
      <c r="AI9" s="78" t="str">
        <f t="shared" si="7"/>
        <v/>
      </c>
      <c r="AJ9" s="78" t="str">
        <f t="shared" si="7"/>
        <v/>
      </c>
      <c r="AK9" s="74" t="str">
        <f t="shared" si="7"/>
        <v/>
      </c>
      <c r="AL9" s="74" t="str">
        <f t="shared" si="7"/>
        <v/>
      </c>
      <c r="AM9" s="75">
        <f t="shared" si="7"/>
        <v>8</v>
      </c>
      <c r="AN9" s="75">
        <f t="shared" si="7"/>
        <v>8</v>
      </c>
      <c r="AO9" s="75">
        <f t="shared" si="7"/>
        <v>8</v>
      </c>
      <c r="AP9" s="75">
        <f t="shared" si="7"/>
        <v>8</v>
      </c>
      <c r="AQ9" s="75">
        <f t="shared" si="7"/>
        <v>8</v>
      </c>
      <c r="AR9" s="75">
        <f t="shared" si="7"/>
        <v>8</v>
      </c>
      <c r="AS9" s="75">
        <f t="shared" si="8"/>
        <v>8</v>
      </c>
      <c r="AT9" s="75">
        <f t="shared" si="8"/>
        <v>8</v>
      </c>
      <c r="AU9" s="75">
        <f t="shared" si="8"/>
        <v>8</v>
      </c>
      <c r="AV9" s="75">
        <f t="shared" si="8"/>
        <v>8</v>
      </c>
      <c r="AW9" s="75">
        <f t="shared" si="8"/>
        <v>8</v>
      </c>
      <c r="AX9" s="75">
        <f t="shared" si="8"/>
        <v>8</v>
      </c>
      <c r="AY9" s="75">
        <f t="shared" si="8"/>
        <v>8</v>
      </c>
      <c r="AZ9" s="75">
        <f t="shared" si="8"/>
        <v>8</v>
      </c>
      <c r="BA9" s="76">
        <f t="shared" si="8"/>
        <v>8</v>
      </c>
      <c r="BB9" s="76">
        <f t="shared" si="8"/>
        <v>8</v>
      </c>
      <c r="BC9" s="76">
        <f t="shared" si="9"/>
        <v>8</v>
      </c>
      <c r="BD9" s="76">
        <f t="shared" si="9"/>
        <v>8</v>
      </c>
      <c r="BE9" s="76">
        <f t="shared" si="9"/>
        <v>8</v>
      </c>
      <c r="BF9" s="76">
        <f t="shared" si="9"/>
        <v>8</v>
      </c>
      <c r="BG9" s="77">
        <f t="shared" si="9"/>
        <v>8</v>
      </c>
      <c r="BH9" s="77">
        <f t="shared" si="9"/>
        <v>8</v>
      </c>
      <c r="BI9" s="77">
        <f t="shared" si="9"/>
        <v>8</v>
      </c>
      <c r="BJ9" s="74" t="str">
        <f t="shared" si="9"/>
        <v/>
      </c>
      <c r="BK9" s="78" t="str">
        <f t="shared" si="9"/>
        <v/>
      </c>
      <c r="BL9" s="78" t="str">
        <f t="shared" si="9"/>
        <v/>
      </c>
      <c r="BM9" s="74" t="str">
        <f t="shared" si="10"/>
        <v/>
      </c>
      <c r="BN9" s="74" t="str">
        <f t="shared" si="10"/>
        <v/>
      </c>
      <c r="BO9" s="74" t="str">
        <f t="shared" si="10"/>
        <v/>
      </c>
      <c r="BP9" s="74" t="str">
        <f t="shared" si="10"/>
        <v/>
      </c>
      <c r="BQ9" s="74" t="str">
        <f t="shared" si="10"/>
        <v/>
      </c>
      <c r="BR9" s="78" t="str">
        <f t="shared" si="10"/>
        <v/>
      </c>
      <c r="BS9" s="78" t="str">
        <f t="shared" si="10"/>
        <v/>
      </c>
      <c r="BT9" s="74" t="str">
        <f t="shared" si="10"/>
        <v/>
      </c>
      <c r="BU9" s="74" t="str">
        <f t="shared" si="10"/>
        <v/>
      </c>
      <c r="BV9" s="74" t="str">
        <f t="shared" si="10"/>
        <v/>
      </c>
      <c r="BW9" s="74" t="str">
        <f t="shared" si="11"/>
        <v/>
      </c>
      <c r="BX9" s="74" t="str">
        <f t="shared" si="11"/>
        <v/>
      </c>
      <c r="BY9" s="78" t="str">
        <f t="shared" si="11"/>
        <v/>
      </c>
      <c r="BZ9" s="78" t="str">
        <f t="shared" si="11"/>
        <v/>
      </c>
      <c r="CA9" s="74" t="str">
        <f t="shared" si="11"/>
        <v/>
      </c>
      <c r="CB9" s="74" t="str">
        <f t="shared" si="11"/>
        <v/>
      </c>
      <c r="CC9" s="74" t="str">
        <f t="shared" si="11"/>
        <v/>
      </c>
      <c r="CD9" s="74" t="str">
        <f t="shared" si="11"/>
        <v/>
      </c>
      <c r="CE9" s="74" t="str">
        <f t="shared" si="11"/>
        <v/>
      </c>
      <c r="CF9" s="78" t="str">
        <f t="shared" si="11"/>
        <v/>
      </c>
      <c r="CG9" s="78" t="str">
        <f t="shared" si="12"/>
        <v/>
      </c>
      <c r="CH9" s="74" t="str">
        <f t="shared" si="12"/>
        <v/>
      </c>
      <c r="CI9" s="74" t="str">
        <f t="shared" si="12"/>
        <v/>
      </c>
      <c r="CJ9" s="74" t="str">
        <f t="shared" si="12"/>
        <v/>
      </c>
      <c r="CK9" s="74" t="str">
        <f t="shared" si="12"/>
        <v/>
      </c>
      <c r="CL9" s="74" t="str">
        <f t="shared" si="12"/>
        <v/>
      </c>
      <c r="CM9" s="78" t="str">
        <f t="shared" si="12"/>
        <v/>
      </c>
      <c r="CN9" s="78" t="str">
        <f t="shared" si="12"/>
        <v/>
      </c>
      <c r="CO9" s="74" t="str">
        <f t="shared" si="12"/>
        <v/>
      </c>
      <c r="CP9" s="74" t="str">
        <f t="shared" si="12"/>
        <v/>
      </c>
      <c r="CQ9" s="74" t="str">
        <f t="shared" si="13"/>
        <v/>
      </c>
      <c r="CR9" s="74" t="str">
        <f t="shared" si="13"/>
        <v/>
      </c>
      <c r="CS9" s="74" t="str">
        <f t="shared" si="13"/>
        <v/>
      </c>
      <c r="CT9" s="78" t="str">
        <f t="shared" si="13"/>
        <v/>
      </c>
      <c r="CU9" s="78" t="str">
        <f t="shared" si="13"/>
        <v/>
      </c>
      <c r="CV9" s="74" t="str">
        <f t="shared" si="13"/>
        <v/>
      </c>
      <c r="CW9" s="74" t="str">
        <f t="shared" si="13"/>
        <v/>
      </c>
      <c r="CX9" s="74" t="str">
        <f t="shared" si="13"/>
        <v/>
      </c>
      <c r="CY9" s="74" t="str">
        <f t="shared" si="13"/>
        <v/>
      </c>
      <c r="CZ9" s="74" t="str">
        <f t="shared" si="13"/>
        <v/>
      </c>
      <c r="DA9" s="78" t="str">
        <f t="shared" si="14"/>
        <v/>
      </c>
      <c r="DB9" s="78" t="str">
        <f t="shared" si="14"/>
        <v/>
      </c>
      <c r="DC9" s="74" t="str">
        <f t="shared" si="14"/>
        <v/>
      </c>
      <c r="DD9" s="74" t="str">
        <f t="shared" si="14"/>
        <v/>
      </c>
      <c r="DE9" s="74" t="str">
        <f t="shared" si="14"/>
        <v/>
      </c>
      <c r="DF9" s="74" t="str">
        <f t="shared" si="14"/>
        <v/>
      </c>
      <c r="DG9" s="74" t="str">
        <f t="shared" si="14"/>
        <v/>
      </c>
      <c r="DH9" s="78" t="str">
        <f t="shared" si="14"/>
        <v/>
      </c>
      <c r="DI9" s="78" t="str">
        <f t="shared" si="14"/>
        <v/>
      </c>
      <c r="DJ9" s="74" t="str">
        <f t="shared" si="14"/>
        <v/>
      </c>
      <c r="DK9" s="74" t="str">
        <f t="shared" si="15"/>
        <v/>
      </c>
      <c r="DL9" s="74" t="str">
        <f t="shared" si="15"/>
        <v/>
      </c>
      <c r="DM9" s="74" t="str">
        <f t="shared" si="15"/>
        <v/>
      </c>
      <c r="DN9" s="74" t="str">
        <f t="shared" si="15"/>
        <v/>
      </c>
      <c r="DO9" s="78" t="str">
        <f t="shared" si="15"/>
        <v/>
      </c>
      <c r="DP9" s="78" t="str">
        <f t="shared" si="15"/>
        <v/>
      </c>
      <c r="DQ9" s="74" t="str">
        <f t="shared" si="15"/>
        <v/>
      </c>
      <c r="DR9" s="74" t="str">
        <f t="shared" si="15"/>
        <v/>
      </c>
      <c r="DS9" s="74" t="str">
        <f t="shared" si="15"/>
        <v/>
      </c>
      <c r="DT9" s="74" t="str">
        <f t="shared" si="15"/>
        <v/>
      </c>
      <c r="DU9" s="74" t="str">
        <f t="shared" si="16"/>
        <v/>
      </c>
      <c r="DV9" s="78" t="str">
        <f t="shared" si="16"/>
        <v/>
      </c>
      <c r="DW9" s="78" t="str">
        <f t="shared" si="16"/>
        <v/>
      </c>
      <c r="DX9" s="74" t="str">
        <f t="shared" si="16"/>
        <v/>
      </c>
      <c r="DY9" s="74" t="str">
        <f t="shared" si="16"/>
        <v/>
      </c>
      <c r="DZ9" s="74" t="str">
        <f t="shared" si="16"/>
        <v/>
      </c>
      <c r="EA9" s="74" t="str">
        <f t="shared" si="16"/>
        <v/>
      </c>
      <c r="EB9" s="74" t="str">
        <f t="shared" si="16"/>
        <v/>
      </c>
      <c r="EC9" s="78" t="str">
        <f t="shared" si="16"/>
        <v/>
      </c>
      <c r="ED9" s="78" t="str">
        <f t="shared" si="16"/>
        <v/>
      </c>
      <c r="EE9" s="74" t="str">
        <f t="shared" si="17"/>
        <v/>
      </c>
      <c r="EF9" s="74" t="str">
        <f t="shared" si="17"/>
        <v/>
      </c>
      <c r="EG9" s="74" t="str">
        <f t="shared" si="17"/>
        <v/>
      </c>
      <c r="EH9" s="74" t="str">
        <f t="shared" si="17"/>
        <v/>
      </c>
      <c r="EI9" s="74" t="str">
        <f t="shared" si="17"/>
        <v/>
      </c>
      <c r="EJ9" s="78" t="str">
        <f t="shared" si="17"/>
        <v/>
      </c>
      <c r="EK9" s="78" t="str">
        <f t="shared" si="17"/>
        <v/>
      </c>
      <c r="EL9" s="74" t="str">
        <f t="shared" si="17"/>
        <v/>
      </c>
      <c r="EM9" s="74" t="str">
        <f t="shared" si="17"/>
        <v/>
      </c>
      <c r="EN9" s="74" t="str">
        <f t="shared" si="17"/>
        <v/>
      </c>
      <c r="EO9" s="74" t="str">
        <f t="shared" si="18"/>
        <v/>
      </c>
      <c r="EP9" s="74" t="str">
        <f t="shared" si="18"/>
        <v/>
      </c>
      <c r="EQ9" s="78" t="str">
        <f t="shared" si="18"/>
        <v/>
      </c>
      <c r="ER9" s="78" t="str">
        <f t="shared" si="18"/>
        <v/>
      </c>
      <c r="ES9" s="74" t="str">
        <f t="shared" si="18"/>
        <v/>
      </c>
      <c r="ET9" s="74" t="str">
        <f t="shared" si="18"/>
        <v/>
      </c>
      <c r="EU9" s="74" t="str">
        <f t="shared" si="18"/>
        <v/>
      </c>
      <c r="EV9" s="74" t="str">
        <f t="shared" si="18"/>
        <v/>
      </c>
      <c r="EW9" s="74" t="str">
        <f t="shared" si="18"/>
        <v/>
      </c>
      <c r="EX9" s="78" t="str">
        <f t="shared" si="18"/>
        <v/>
      </c>
      <c r="EY9" s="78" t="str">
        <f t="shared" si="19"/>
        <v/>
      </c>
      <c r="EZ9" s="74" t="str">
        <f t="shared" si="19"/>
        <v/>
      </c>
      <c r="FA9" s="74" t="str">
        <f t="shared" si="19"/>
        <v/>
      </c>
      <c r="FB9" s="74" t="str">
        <f t="shared" si="19"/>
        <v/>
      </c>
      <c r="FC9" s="74" t="str">
        <f t="shared" si="19"/>
        <v/>
      </c>
      <c r="FD9" s="74" t="str">
        <f t="shared" si="19"/>
        <v/>
      </c>
      <c r="FE9" s="78" t="str">
        <f t="shared" si="19"/>
        <v/>
      </c>
      <c r="FF9" s="78" t="str">
        <f t="shared" si="19"/>
        <v/>
      </c>
      <c r="FG9" s="74" t="str">
        <f t="shared" si="19"/>
        <v/>
      </c>
      <c r="FH9" s="74" t="str">
        <f t="shared" si="19"/>
        <v/>
      </c>
      <c r="FI9" s="74" t="str">
        <f t="shared" si="20"/>
        <v/>
      </c>
      <c r="FJ9" s="74" t="str">
        <f t="shared" si="20"/>
        <v/>
      </c>
      <c r="FK9" s="74" t="str">
        <f t="shared" si="20"/>
        <v/>
      </c>
      <c r="FL9" s="78" t="str">
        <f t="shared" si="20"/>
        <v/>
      </c>
      <c r="FM9" s="78" t="str">
        <f t="shared" si="20"/>
        <v/>
      </c>
      <c r="FN9" s="74" t="str">
        <f t="shared" si="20"/>
        <v/>
      </c>
      <c r="FO9" s="74" t="str">
        <f t="shared" si="20"/>
        <v/>
      </c>
      <c r="FP9" s="74" t="str">
        <f t="shared" si="20"/>
        <v/>
      </c>
      <c r="FQ9" s="74" t="str">
        <f t="shared" si="20"/>
        <v/>
      </c>
      <c r="FR9" s="74" t="str">
        <f t="shared" si="20"/>
        <v/>
      </c>
      <c r="FS9" s="78" t="str">
        <f t="shared" si="21"/>
        <v/>
      </c>
      <c r="FT9" s="78" t="str">
        <f t="shared" si="21"/>
        <v/>
      </c>
      <c r="FU9" s="74" t="str">
        <f t="shared" si="21"/>
        <v/>
      </c>
      <c r="FV9" s="74" t="str">
        <f t="shared" si="21"/>
        <v/>
      </c>
      <c r="FW9" s="74" t="str">
        <f t="shared" si="21"/>
        <v/>
      </c>
      <c r="FX9" s="74" t="str">
        <f t="shared" si="21"/>
        <v/>
      </c>
      <c r="FY9" s="74" t="str">
        <f t="shared" si="21"/>
        <v/>
      </c>
      <c r="FZ9" s="78" t="str">
        <f t="shared" si="21"/>
        <v/>
      </c>
      <c r="GA9" s="78" t="str">
        <f t="shared" si="21"/>
        <v/>
      </c>
      <c r="GB9" s="74" t="str">
        <f t="shared" si="21"/>
        <v/>
      </c>
      <c r="GC9" s="74" t="str">
        <f t="shared" si="22"/>
        <v/>
      </c>
      <c r="GD9" s="74" t="str">
        <f t="shared" si="22"/>
        <v/>
      </c>
      <c r="GE9" s="74" t="str">
        <f t="shared" si="22"/>
        <v/>
      </c>
      <c r="GF9" s="74" t="str">
        <f t="shared" si="22"/>
        <v/>
      </c>
      <c r="GG9" s="78" t="str">
        <f t="shared" si="22"/>
        <v/>
      </c>
      <c r="GH9" s="78" t="str">
        <f t="shared" si="22"/>
        <v/>
      </c>
      <c r="GI9" s="74" t="str">
        <f t="shared" si="22"/>
        <v/>
      </c>
      <c r="GJ9" s="74" t="str">
        <f t="shared" si="22"/>
        <v/>
      </c>
      <c r="GK9" s="74" t="str">
        <f t="shared" si="22"/>
        <v/>
      </c>
      <c r="GL9" s="74" t="str">
        <f t="shared" si="22"/>
        <v/>
      </c>
      <c r="GM9" s="74" t="str">
        <f t="shared" si="23"/>
        <v/>
      </c>
      <c r="GN9" s="78" t="str">
        <f t="shared" si="23"/>
        <v/>
      </c>
      <c r="GO9" s="78" t="str">
        <f t="shared" si="23"/>
        <v/>
      </c>
      <c r="GP9" s="74" t="str">
        <f t="shared" si="23"/>
        <v/>
      </c>
      <c r="GQ9" s="74" t="str">
        <f t="shared" si="23"/>
        <v/>
      </c>
      <c r="GR9" s="74" t="str">
        <f t="shared" si="23"/>
        <v/>
      </c>
      <c r="GS9" s="74" t="str">
        <f t="shared" si="23"/>
        <v/>
      </c>
      <c r="GT9" s="74" t="str">
        <f t="shared" si="23"/>
        <v/>
      </c>
      <c r="GU9" s="78" t="str">
        <f t="shared" si="23"/>
        <v/>
      </c>
      <c r="GV9" s="78" t="str">
        <f t="shared" si="23"/>
        <v/>
      </c>
      <c r="GW9" s="74" t="str">
        <f t="shared" si="24"/>
        <v/>
      </c>
      <c r="GX9" s="74" t="str">
        <f t="shared" si="24"/>
        <v/>
      </c>
      <c r="GY9" s="74" t="str">
        <f t="shared" si="24"/>
        <v/>
      </c>
      <c r="GZ9" s="74" t="str">
        <f t="shared" si="24"/>
        <v/>
      </c>
      <c r="HA9" s="74" t="str">
        <f t="shared" si="24"/>
        <v/>
      </c>
      <c r="HB9" s="78" t="str">
        <f t="shared" si="24"/>
        <v/>
      </c>
      <c r="HC9" s="78" t="str">
        <f t="shared" si="24"/>
        <v/>
      </c>
      <c r="HD9" s="74" t="str">
        <f t="shared" si="24"/>
        <v/>
      </c>
      <c r="HE9" s="74" t="str">
        <f t="shared" si="24"/>
        <v/>
      </c>
      <c r="HF9" s="74" t="str">
        <f t="shared" si="24"/>
        <v/>
      </c>
      <c r="HG9" s="74" t="str">
        <f t="shared" si="24"/>
        <v/>
      </c>
      <c r="HH9" s="74" t="str">
        <f t="shared" si="24"/>
        <v/>
      </c>
    </row>
    <row r="10" spans="1:216" x14ac:dyDescent="0.2">
      <c r="A10" s="82" t="str">
        <f>'FY1 Event Pipeline'!A7</f>
        <v>No Art UAE</v>
      </c>
      <c r="B10" s="83">
        <f>_xlfn.XLOOKUP(A10,'FY1 Event Pipeline'!$A$4:$A$15,'FY1 Event Pipeline'!$H$4:$H$15)</f>
        <v>46332</v>
      </c>
      <c r="C10" s="83">
        <f>_xlfn.XLOOKUP(A10,'FY1 Event Pipeline'!$A$4:$A$15,'FY1 Event Pipeline'!$J$4:$J$15)</f>
        <v>46353</v>
      </c>
      <c r="D10" s="84">
        <f>_xlfn.XLOOKUP(A10,'FY1 Event Pipeline'!$A$4:$A$15,'FY1 Event Pipeline'!$N$4:$N$15)</f>
        <v>24</v>
      </c>
      <c r="E10" s="74" t="str">
        <f t="shared" si="4"/>
        <v/>
      </c>
      <c r="F10" s="74" t="str">
        <f t="shared" si="4"/>
        <v/>
      </c>
      <c r="G10" s="78" t="str">
        <f t="shared" si="4"/>
        <v/>
      </c>
      <c r="H10" s="78" t="str">
        <f t="shared" si="4"/>
        <v/>
      </c>
      <c r="I10" s="74" t="str">
        <f t="shared" si="4"/>
        <v/>
      </c>
      <c r="J10" s="74" t="str">
        <f t="shared" si="4"/>
        <v/>
      </c>
      <c r="K10" s="74" t="str">
        <f t="shared" si="4"/>
        <v/>
      </c>
      <c r="L10" s="74" t="str">
        <f t="shared" si="4"/>
        <v/>
      </c>
      <c r="M10" s="74" t="str">
        <f t="shared" si="4"/>
        <v/>
      </c>
      <c r="N10" s="78" t="str">
        <f t="shared" si="4"/>
        <v/>
      </c>
      <c r="O10" s="78" t="str">
        <f t="shared" si="5"/>
        <v/>
      </c>
      <c r="P10" s="74" t="str">
        <f t="shared" si="5"/>
        <v/>
      </c>
      <c r="Q10" s="74" t="str">
        <f t="shared" si="5"/>
        <v/>
      </c>
      <c r="R10" s="74" t="str">
        <f t="shared" si="5"/>
        <v/>
      </c>
      <c r="S10" s="74" t="str">
        <f t="shared" si="5"/>
        <v/>
      </c>
      <c r="T10" s="74" t="str">
        <f t="shared" si="5"/>
        <v/>
      </c>
      <c r="U10" s="78" t="str">
        <f t="shared" si="5"/>
        <v/>
      </c>
      <c r="V10" s="78" t="str">
        <f t="shared" si="5"/>
        <v/>
      </c>
      <c r="W10" s="74" t="str">
        <f t="shared" si="5"/>
        <v/>
      </c>
      <c r="X10" s="74" t="str">
        <f t="shared" si="5"/>
        <v/>
      </c>
      <c r="Y10" s="74" t="str">
        <f t="shared" si="6"/>
        <v/>
      </c>
      <c r="Z10" s="74" t="str">
        <f t="shared" si="6"/>
        <v/>
      </c>
      <c r="AA10" s="74" t="str">
        <f t="shared" si="6"/>
        <v/>
      </c>
      <c r="AB10" s="78" t="str">
        <f t="shared" si="6"/>
        <v/>
      </c>
      <c r="AC10" s="78" t="str">
        <f t="shared" si="6"/>
        <v/>
      </c>
      <c r="AD10" s="74" t="str">
        <f t="shared" si="6"/>
        <v/>
      </c>
      <c r="AE10" s="74" t="str">
        <f t="shared" si="6"/>
        <v/>
      </c>
      <c r="AF10" s="74" t="str">
        <f t="shared" si="6"/>
        <v/>
      </c>
      <c r="AG10" s="74" t="str">
        <f t="shared" si="6"/>
        <v/>
      </c>
      <c r="AH10" s="74" t="str">
        <f t="shared" si="6"/>
        <v/>
      </c>
      <c r="AI10" s="78" t="str">
        <f t="shared" si="7"/>
        <v/>
      </c>
      <c r="AJ10" s="78" t="str">
        <f t="shared" si="7"/>
        <v/>
      </c>
      <c r="AK10" s="74" t="str">
        <f t="shared" si="7"/>
        <v/>
      </c>
      <c r="AL10" s="74" t="str">
        <f t="shared" si="7"/>
        <v/>
      </c>
      <c r="AM10" s="74" t="str">
        <f t="shared" si="7"/>
        <v/>
      </c>
      <c r="AN10" s="74" t="str">
        <f t="shared" si="7"/>
        <v/>
      </c>
      <c r="AO10" s="75">
        <f t="shared" si="7"/>
        <v>24</v>
      </c>
      <c r="AP10" s="75">
        <f t="shared" si="7"/>
        <v>24</v>
      </c>
      <c r="AQ10" s="75">
        <f t="shared" si="7"/>
        <v>24</v>
      </c>
      <c r="AR10" s="75">
        <f t="shared" si="7"/>
        <v>24</v>
      </c>
      <c r="AS10" s="75">
        <f t="shared" si="8"/>
        <v>24</v>
      </c>
      <c r="AT10" s="75">
        <f t="shared" si="8"/>
        <v>24</v>
      </c>
      <c r="AU10" s="75">
        <f t="shared" si="8"/>
        <v>24</v>
      </c>
      <c r="AV10" s="75">
        <f t="shared" si="8"/>
        <v>24</v>
      </c>
      <c r="AW10" s="75">
        <f t="shared" si="8"/>
        <v>24</v>
      </c>
      <c r="AX10" s="75">
        <f t="shared" si="8"/>
        <v>24</v>
      </c>
      <c r="AY10" s="75">
        <f t="shared" si="8"/>
        <v>24</v>
      </c>
      <c r="AZ10" s="75">
        <f t="shared" si="8"/>
        <v>24</v>
      </c>
      <c r="BA10" s="75">
        <f t="shared" si="8"/>
        <v>24</v>
      </c>
      <c r="BB10" s="75">
        <f t="shared" si="8"/>
        <v>24</v>
      </c>
      <c r="BC10" s="76">
        <f t="shared" si="9"/>
        <v>24</v>
      </c>
      <c r="BD10" s="76">
        <f t="shared" si="9"/>
        <v>24</v>
      </c>
      <c r="BE10" s="76">
        <f t="shared" si="9"/>
        <v>24</v>
      </c>
      <c r="BF10" s="76">
        <f t="shared" si="9"/>
        <v>24</v>
      </c>
      <c r="BG10" s="76">
        <f t="shared" si="9"/>
        <v>24</v>
      </c>
      <c r="BH10" s="77">
        <f t="shared" si="9"/>
        <v>24</v>
      </c>
      <c r="BI10" s="77">
        <f t="shared" si="9"/>
        <v>24</v>
      </c>
      <c r="BJ10" s="77">
        <f t="shared" si="9"/>
        <v>24</v>
      </c>
      <c r="BK10" s="78" t="str">
        <f t="shared" si="9"/>
        <v/>
      </c>
      <c r="BL10" s="78" t="str">
        <f t="shared" si="9"/>
        <v/>
      </c>
      <c r="BM10" s="74" t="str">
        <f t="shared" si="10"/>
        <v/>
      </c>
      <c r="BN10" s="74" t="str">
        <f t="shared" si="10"/>
        <v/>
      </c>
      <c r="BO10" s="74" t="str">
        <f t="shared" si="10"/>
        <v/>
      </c>
      <c r="BP10" s="74" t="str">
        <f t="shared" si="10"/>
        <v/>
      </c>
      <c r="BQ10" s="74" t="str">
        <f t="shared" si="10"/>
        <v/>
      </c>
      <c r="BR10" s="78" t="str">
        <f t="shared" si="10"/>
        <v/>
      </c>
      <c r="BS10" s="78" t="str">
        <f t="shared" si="10"/>
        <v/>
      </c>
      <c r="BT10" s="74" t="str">
        <f t="shared" si="10"/>
        <v/>
      </c>
      <c r="BU10" s="74" t="str">
        <f t="shared" si="10"/>
        <v/>
      </c>
      <c r="BV10" s="74" t="str">
        <f t="shared" si="10"/>
        <v/>
      </c>
      <c r="BW10" s="74" t="str">
        <f t="shared" si="11"/>
        <v/>
      </c>
      <c r="BX10" s="74" t="str">
        <f t="shared" si="11"/>
        <v/>
      </c>
      <c r="BY10" s="78" t="str">
        <f t="shared" si="11"/>
        <v/>
      </c>
      <c r="BZ10" s="78" t="str">
        <f t="shared" si="11"/>
        <v/>
      </c>
      <c r="CA10" s="74" t="str">
        <f t="shared" si="11"/>
        <v/>
      </c>
      <c r="CB10" s="74" t="str">
        <f t="shared" si="11"/>
        <v/>
      </c>
      <c r="CC10" s="74" t="str">
        <f t="shared" si="11"/>
        <v/>
      </c>
      <c r="CD10" s="74" t="str">
        <f t="shared" si="11"/>
        <v/>
      </c>
      <c r="CE10" s="74" t="str">
        <f t="shared" si="11"/>
        <v/>
      </c>
      <c r="CF10" s="78" t="str">
        <f t="shared" si="11"/>
        <v/>
      </c>
      <c r="CG10" s="78" t="str">
        <f t="shared" si="12"/>
        <v/>
      </c>
      <c r="CH10" s="74" t="str">
        <f t="shared" si="12"/>
        <v/>
      </c>
      <c r="CI10" s="74" t="str">
        <f t="shared" si="12"/>
        <v/>
      </c>
      <c r="CJ10" s="74" t="str">
        <f t="shared" si="12"/>
        <v/>
      </c>
      <c r="CK10" s="74" t="str">
        <f t="shared" si="12"/>
        <v/>
      </c>
      <c r="CL10" s="74" t="str">
        <f t="shared" si="12"/>
        <v/>
      </c>
      <c r="CM10" s="78" t="str">
        <f t="shared" si="12"/>
        <v/>
      </c>
      <c r="CN10" s="78" t="str">
        <f t="shared" si="12"/>
        <v/>
      </c>
      <c r="CO10" s="74" t="str">
        <f t="shared" si="12"/>
        <v/>
      </c>
      <c r="CP10" s="74" t="str">
        <f t="shared" si="12"/>
        <v/>
      </c>
      <c r="CQ10" s="74" t="str">
        <f t="shared" si="13"/>
        <v/>
      </c>
      <c r="CR10" s="74" t="str">
        <f t="shared" si="13"/>
        <v/>
      </c>
      <c r="CS10" s="74" t="str">
        <f t="shared" si="13"/>
        <v/>
      </c>
      <c r="CT10" s="78" t="str">
        <f t="shared" si="13"/>
        <v/>
      </c>
      <c r="CU10" s="78" t="str">
        <f t="shared" si="13"/>
        <v/>
      </c>
      <c r="CV10" s="74" t="str">
        <f t="shared" si="13"/>
        <v/>
      </c>
      <c r="CW10" s="74" t="str">
        <f t="shared" si="13"/>
        <v/>
      </c>
      <c r="CX10" s="74" t="str">
        <f t="shared" si="13"/>
        <v/>
      </c>
      <c r="CY10" s="74" t="str">
        <f t="shared" si="13"/>
        <v/>
      </c>
      <c r="CZ10" s="74" t="str">
        <f t="shared" si="13"/>
        <v/>
      </c>
      <c r="DA10" s="78" t="str">
        <f t="shared" si="14"/>
        <v/>
      </c>
      <c r="DB10" s="78" t="str">
        <f t="shared" si="14"/>
        <v/>
      </c>
      <c r="DC10" s="74" t="str">
        <f t="shared" si="14"/>
        <v/>
      </c>
      <c r="DD10" s="74" t="str">
        <f t="shared" si="14"/>
        <v/>
      </c>
      <c r="DE10" s="74" t="str">
        <f t="shared" si="14"/>
        <v/>
      </c>
      <c r="DF10" s="74" t="str">
        <f t="shared" si="14"/>
        <v/>
      </c>
      <c r="DG10" s="74" t="str">
        <f t="shared" si="14"/>
        <v/>
      </c>
      <c r="DH10" s="78" t="str">
        <f t="shared" si="14"/>
        <v/>
      </c>
      <c r="DI10" s="78" t="str">
        <f t="shared" si="14"/>
        <v/>
      </c>
      <c r="DJ10" s="74" t="str">
        <f t="shared" si="14"/>
        <v/>
      </c>
      <c r="DK10" s="74" t="str">
        <f t="shared" si="15"/>
        <v/>
      </c>
      <c r="DL10" s="74" t="str">
        <f t="shared" si="15"/>
        <v/>
      </c>
      <c r="DM10" s="74" t="str">
        <f t="shared" si="15"/>
        <v/>
      </c>
      <c r="DN10" s="74" t="str">
        <f t="shared" si="15"/>
        <v/>
      </c>
      <c r="DO10" s="78" t="str">
        <f t="shared" si="15"/>
        <v/>
      </c>
      <c r="DP10" s="78" t="str">
        <f t="shared" si="15"/>
        <v/>
      </c>
      <c r="DQ10" s="74" t="str">
        <f t="shared" si="15"/>
        <v/>
      </c>
      <c r="DR10" s="74" t="str">
        <f t="shared" si="15"/>
        <v/>
      </c>
      <c r="DS10" s="74" t="str">
        <f t="shared" si="15"/>
        <v/>
      </c>
      <c r="DT10" s="74" t="str">
        <f t="shared" si="15"/>
        <v/>
      </c>
      <c r="DU10" s="74" t="str">
        <f t="shared" si="16"/>
        <v/>
      </c>
      <c r="DV10" s="78" t="str">
        <f t="shared" si="16"/>
        <v/>
      </c>
      <c r="DW10" s="78" t="str">
        <f t="shared" si="16"/>
        <v/>
      </c>
      <c r="DX10" s="74" t="str">
        <f t="shared" si="16"/>
        <v/>
      </c>
      <c r="DY10" s="74" t="str">
        <f t="shared" si="16"/>
        <v/>
      </c>
      <c r="DZ10" s="74" t="str">
        <f t="shared" si="16"/>
        <v/>
      </c>
      <c r="EA10" s="74" t="str">
        <f t="shared" si="16"/>
        <v/>
      </c>
      <c r="EB10" s="74" t="str">
        <f t="shared" si="16"/>
        <v/>
      </c>
      <c r="EC10" s="78" t="str">
        <f t="shared" si="16"/>
        <v/>
      </c>
      <c r="ED10" s="78" t="str">
        <f t="shared" si="16"/>
        <v/>
      </c>
      <c r="EE10" s="74" t="str">
        <f t="shared" si="17"/>
        <v/>
      </c>
      <c r="EF10" s="74" t="str">
        <f t="shared" si="17"/>
        <v/>
      </c>
      <c r="EG10" s="74" t="str">
        <f t="shared" si="17"/>
        <v/>
      </c>
      <c r="EH10" s="74" t="str">
        <f t="shared" si="17"/>
        <v/>
      </c>
      <c r="EI10" s="74" t="str">
        <f t="shared" si="17"/>
        <v/>
      </c>
      <c r="EJ10" s="78" t="str">
        <f t="shared" si="17"/>
        <v/>
      </c>
      <c r="EK10" s="78" t="str">
        <f t="shared" si="17"/>
        <v/>
      </c>
      <c r="EL10" s="74" t="str">
        <f t="shared" si="17"/>
        <v/>
      </c>
      <c r="EM10" s="74" t="str">
        <f t="shared" si="17"/>
        <v/>
      </c>
      <c r="EN10" s="74" t="str">
        <f t="shared" si="17"/>
        <v/>
      </c>
      <c r="EO10" s="74" t="str">
        <f t="shared" si="18"/>
        <v/>
      </c>
      <c r="EP10" s="74" t="str">
        <f t="shared" si="18"/>
        <v/>
      </c>
      <c r="EQ10" s="78" t="str">
        <f t="shared" si="18"/>
        <v/>
      </c>
      <c r="ER10" s="78" t="str">
        <f t="shared" si="18"/>
        <v/>
      </c>
      <c r="ES10" s="74" t="str">
        <f t="shared" si="18"/>
        <v/>
      </c>
      <c r="ET10" s="74" t="str">
        <f t="shared" si="18"/>
        <v/>
      </c>
      <c r="EU10" s="74" t="str">
        <f t="shared" si="18"/>
        <v/>
      </c>
      <c r="EV10" s="74" t="str">
        <f t="shared" si="18"/>
        <v/>
      </c>
      <c r="EW10" s="74" t="str">
        <f t="shared" si="18"/>
        <v/>
      </c>
      <c r="EX10" s="78" t="str">
        <f t="shared" si="18"/>
        <v/>
      </c>
      <c r="EY10" s="78" t="str">
        <f t="shared" si="19"/>
        <v/>
      </c>
      <c r="EZ10" s="74" t="str">
        <f t="shared" si="19"/>
        <v/>
      </c>
      <c r="FA10" s="74" t="str">
        <f t="shared" si="19"/>
        <v/>
      </c>
      <c r="FB10" s="74" t="str">
        <f t="shared" si="19"/>
        <v/>
      </c>
      <c r="FC10" s="74" t="str">
        <f t="shared" si="19"/>
        <v/>
      </c>
      <c r="FD10" s="74" t="str">
        <f t="shared" si="19"/>
        <v/>
      </c>
      <c r="FE10" s="78" t="str">
        <f t="shared" si="19"/>
        <v/>
      </c>
      <c r="FF10" s="78" t="str">
        <f t="shared" si="19"/>
        <v/>
      </c>
      <c r="FG10" s="74" t="str">
        <f t="shared" si="19"/>
        <v/>
      </c>
      <c r="FH10" s="74" t="str">
        <f t="shared" si="19"/>
        <v/>
      </c>
      <c r="FI10" s="74" t="str">
        <f t="shared" si="20"/>
        <v/>
      </c>
      <c r="FJ10" s="74" t="str">
        <f t="shared" si="20"/>
        <v/>
      </c>
      <c r="FK10" s="74" t="str">
        <f t="shared" si="20"/>
        <v/>
      </c>
      <c r="FL10" s="78" t="str">
        <f t="shared" si="20"/>
        <v/>
      </c>
      <c r="FM10" s="78" t="str">
        <f t="shared" si="20"/>
        <v/>
      </c>
      <c r="FN10" s="74" t="str">
        <f t="shared" si="20"/>
        <v/>
      </c>
      <c r="FO10" s="74" t="str">
        <f t="shared" si="20"/>
        <v/>
      </c>
      <c r="FP10" s="74" t="str">
        <f t="shared" si="20"/>
        <v/>
      </c>
      <c r="FQ10" s="74" t="str">
        <f t="shared" si="20"/>
        <v/>
      </c>
      <c r="FR10" s="74" t="str">
        <f t="shared" si="20"/>
        <v/>
      </c>
      <c r="FS10" s="78" t="str">
        <f t="shared" si="21"/>
        <v/>
      </c>
      <c r="FT10" s="78" t="str">
        <f t="shared" si="21"/>
        <v/>
      </c>
      <c r="FU10" s="74" t="str">
        <f t="shared" si="21"/>
        <v/>
      </c>
      <c r="FV10" s="74" t="str">
        <f t="shared" si="21"/>
        <v/>
      </c>
      <c r="FW10" s="74" t="str">
        <f t="shared" si="21"/>
        <v/>
      </c>
      <c r="FX10" s="74" t="str">
        <f t="shared" si="21"/>
        <v/>
      </c>
      <c r="FY10" s="74" t="str">
        <f t="shared" si="21"/>
        <v/>
      </c>
      <c r="FZ10" s="78" t="str">
        <f t="shared" si="21"/>
        <v/>
      </c>
      <c r="GA10" s="78" t="str">
        <f t="shared" si="21"/>
        <v/>
      </c>
      <c r="GB10" s="74" t="str">
        <f t="shared" si="21"/>
        <v/>
      </c>
      <c r="GC10" s="74" t="str">
        <f t="shared" si="22"/>
        <v/>
      </c>
      <c r="GD10" s="74" t="str">
        <f t="shared" si="22"/>
        <v/>
      </c>
      <c r="GE10" s="74" t="str">
        <f t="shared" si="22"/>
        <v/>
      </c>
      <c r="GF10" s="74" t="str">
        <f t="shared" si="22"/>
        <v/>
      </c>
      <c r="GG10" s="78" t="str">
        <f t="shared" si="22"/>
        <v/>
      </c>
      <c r="GH10" s="78" t="str">
        <f t="shared" si="22"/>
        <v/>
      </c>
      <c r="GI10" s="74" t="str">
        <f t="shared" si="22"/>
        <v/>
      </c>
      <c r="GJ10" s="74" t="str">
        <f t="shared" si="22"/>
        <v/>
      </c>
      <c r="GK10" s="74" t="str">
        <f t="shared" si="22"/>
        <v/>
      </c>
      <c r="GL10" s="74" t="str">
        <f t="shared" si="22"/>
        <v/>
      </c>
      <c r="GM10" s="74" t="str">
        <f t="shared" si="23"/>
        <v/>
      </c>
      <c r="GN10" s="78" t="str">
        <f t="shared" si="23"/>
        <v/>
      </c>
      <c r="GO10" s="78" t="str">
        <f t="shared" si="23"/>
        <v/>
      </c>
      <c r="GP10" s="74" t="str">
        <f t="shared" si="23"/>
        <v/>
      </c>
      <c r="GQ10" s="74" t="str">
        <f t="shared" si="23"/>
        <v/>
      </c>
      <c r="GR10" s="74" t="str">
        <f t="shared" si="23"/>
        <v/>
      </c>
      <c r="GS10" s="74" t="str">
        <f t="shared" si="23"/>
        <v/>
      </c>
      <c r="GT10" s="74" t="str">
        <f t="shared" si="23"/>
        <v/>
      </c>
      <c r="GU10" s="78" t="str">
        <f t="shared" si="23"/>
        <v/>
      </c>
      <c r="GV10" s="78" t="str">
        <f t="shared" si="23"/>
        <v/>
      </c>
      <c r="GW10" s="74" t="str">
        <f t="shared" si="24"/>
        <v/>
      </c>
      <c r="GX10" s="74" t="str">
        <f t="shared" si="24"/>
        <v/>
      </c>
      <c r="GY10" s="74" t="str">
        <f t="shared" si="24"/>
        <v/>
      </c>
      <c r="GZ10" s="74" t="str">
        <f t="shared" si="24"/>
        <v/>
      </c>
      <c r="HA10" s="74" t="str">
        <f t="shared" si="24"/>
        <v/>
      </c>
      <c r="HB10" s="78" t="str">
        <f t="shared" si="24"/>
        <v/>
      </c>
      <c r="HC10" s="78" t="str">
        <f t="shared" si="24"/>
        <v/>
      </c>
      <c r="HD10" s="74" t="str">
        <f t="shared" si="24"/>
        <v/>
      </c>
      <c r="HE10" s="74" t="str">
        <f t="shared" si="24"/>
        <v/>
      </c>
      <c r="HF10" s="74" t="str">
        <f t="shared" si="24"/>
        <v/>
      </c>
      <c r="HG10" s="74" t="str">
        <f t="shared" si="24"/>
        <v/>
      </c>
      <c r="HH10" s="74" t="str">
        <f t="shared" si="24"/>
        <v/>
      </c>
    </row>
    <row r="11" spans="1:216" x14ac:dyDescent="0.2">
      <c r="A11" s="82" t="str">
        <f>'FY1 Event Pipeline'!A8</f>
        <v>Tanweer Festival</v>
      </c>
      <c r="B11" s="83">
        <f>_xlfn.XLOOKUP(A11,'FY1 Event Pipeline'!$A$4:$A$15,'FY1 Event Pipeline'!$H$4:$H$15)</f>
        <v>46340</v>
      </c>
      <c r="C11" s="83">
        <f>_xlfn.XLOOKUP(A11,'FY1 Event Pipeline'!$A$4:$A$15,'FY1 Event Pipeline'!$J$4:$J$15)</f>
        <v>46352</v>
      </c>
      <c r="D11" s="84">
        <f>_xlfn.XLOOKUP(A11,'FY1 Event Pipeline'!$A$4:$A$15,'FY1 Event Pipeline'!$N$4:$N$15)</f>
        <v>0</v>
      </c>
      <c r="E11" s="74" t="str">
        <f t="shared" si="4"/>
        <v/>
      </c>
      <c r="F11" s="74" t="str">
        <f t="shared" si="4"/>
        <v/>
      </c>
      <c r="G11" s="78" t="str">
        <f t="shared" si="4"/>
        <v/>
      </c>
      <c r="H11" s="78" t="str">
        <f t="shared" si="4"/>
        <v/>
      </c>
      <c r="I11" s="74" t="str">
        <f t="shared" si="4"/>
        <v/>
      </c>
      <c r="J11" s="74" t="str">
        <f t="shared" si="4"/>
        <v/>
      </c>
      <c r="K11" s="74" t="str">
        <f t="shared" si="4"/>
        <v/>
      </c>
      <c r="L11" s="74" t="str">
        <f t="shared" si="4"/>
        <v/>
      </c>
      <c r="M11" s="74" t="str">
        <f t="shared" si="4"/>
        <v/>
      </c>
      <c r="N11" s="78" t="str">
        <f t="shared" si="4"/>
        <v/>
      </c>
      <c r="O11" s="78" t="str">
        <f t="shared" si="5"/>
        <v/>
      </c>
      <c r="P11" s="74" t="str">
        <f t="shared" si="5"/>
        <v/>
      </c>
      <c r="Q11" s="74" t="str">
        <f t="shared" si="5"/>
        <v/>
      </c>
      <c r="R11" s="74" t="str">
        <f t="shared" si="5"/>
        <v/>
      </c>
      <c r="S11" s="74" t="str">
        <f t="shared" si="5"/>
        <v/>
      </c>
      <c r="T11" s="74" t="str">
        <f t="shared" si="5"/>
        <v/>
      </c>
      <c r="U11" s="78" t="str">
        <f t="shared" si="5"/>
        <v/>
      </c>
      <c r="V11" s="78" t="str">
        <f t="shared" si="5"/>
        <v/>
      </c>
      <c r="W11" s="74" t="str">
        <f t="shared" si="5"/>
        <v/>
      </c>
      <c r="X11" s="74" t="str">
        <f t="shared" si="5"/>
        <v/>
      </c>
      <c r="Y11" s="74" t="str">
        <f t="shared" si="6"/>
        <v/>
      </c>
      <c r="Z11" s="74" t="str">
        <f t="shared" si="6"/>
        <v/>
      </c>
      <c r="AA11" s="74" t="str">
        <f t="shared" si="6"/>
        <v/>
      </c>
      <c r="AB11" s="78" t="str">
        <f t="shared" si="6"/>
        <v/>
      </c>
      <c r="AC11" s="78" t="str">
        <f t="shared" si="6"/>
        <v/>
      </c>
      <c r="AD11" s="74" t="str">
        <f t="shared" si="6"/>
        <v/>
      </c>
      <c r="AE11" s="74" t="str">
        <f t="shared" si="6"/>
        <v/>
      </c>
      <c r="AF11" s="74" t="str">
        <f t="shared" si="6"/>
        <v/>
      </c>
      <c r="AG11" s="74" t="str">
        <f t="shared" si="6"/>
        <v/>
      </c>
      <c r="AH11" s="74" t="str">
        <f t="shared" si="6"/>
        <v/>
      </c>
      <c r="AI11" s="78" t="str">
        <f t="shared" si="7"/>
        <v/>
      </c>
      <c r="AJ11" s="78" t="str">
        <f t="shared" si="7"/>
        <v/>
      </c>
      <c r="AK11" s="74" t="str">
        <f t="shared" si="7"/>
        <v/>
      </c>
      <c r="AL11" s="74" t="str">
        <f t="shared" si="7"/>
        <v/>
      </c>
      <c r="AM11" s="74" t="str">
        <f t="shared" si="7"/>
        <v/>
      </c>
      <c r="AN11" s="74" t="str">
        <f t="shared" si="7"/>
        <v/>
      </c>
      <c r="AO11" s="74" t="str">
        <f t="shared" si="7"/>
        <v/>
      </c>
      <c r="AP11" s="78" t="str">
        <f t="shared" si="7"/>
        <v/>
      </c>
      <c r="AQ11" s="78" t="str">
        <f t="shared" si="7"/>
        <v/>
      </c>
      <c r="AR11" s="74" t="str">
        <f t="shared" si="7"/>
        <v/>
      </c>
      <c r="AS11" s="74" t="str">
        <f t="shared" si="8"/>
        <v/>
      </c>
      <c r="AT11" s="74" t="str">
        <f t="shared" si="8"/>
        <v/>
      </c>
      <c r="AU11" s="74" t="str">
        <f t="shared" si="8"/>
        <v/>
      </c>
      <c r="AV11" s="74" t="str">
        <f t="shared" si="8"/>
        <v/>
      </c>
      <c r="AW11" s="75">
        <f t="shared" si="8"/>
        <v>0</v>
      </c>
      <c r="AX11" s="75">
        <f t="shared" si="8"/>
        <v>0</v>
      </c>
      <c r="AY11" s="75">
        <f t="shared" si="8"/>
        <v>0</v>
      </c>
      <c r="AZ11" s="75">
        <f t="shared" si="8"/>
        <v>0</v>
      </c>
      <c r="BA11" s="75">
        <f t="shared" si="8"/>
        <v>0</v>
      </c>
      <c r="BB11" s="75">
        <f t="shared" si="8"/>
        <v>0</v>
      </c>
      <c r="BC11" s="75">
        <f t="shared" si="9"/>
        <v>0</v>
      </c>
      <c r="BD11" s="76">
        <f t="shared" si="9"/>
        <v>0</v>
      </c>
      <c r="BE11" s="76">
        <f t="shared" si="9"/>
        <v>0</v>
      </c>
      <c r="BF11" s="76">
        <f t="shared" si="9"/>
        <v>0</v>
      </c>
      <c r="BG11" s="77">
        <f t="shared" si="9"/>
        <v>0</v>
      </c>
      <c r="BH11" s="77">
        <f t="shared" si="9"/>
        <v>0</v>
      </c>
      <c r="BI11" s="77">
        <f t="shared" si="9"/>
        <v>0</v>
      </c>
      <c r="BJ11" s="74" t="str">
        <f t="shared" si="9"/>
        <v/>
      </c>
      <c r="BK11" s="78" t="str">
        <f t="shared" si="9"/>
        <v/>
      </c>
      <c r="BL11" s="78" t="str">
        <f t="shared" si="9"/>
        <v/>
      </c>
      <c r="BM11" s="74" t="str">
        <f t="shared" si="10"/>
        <v/>
      </c>
      <c r="BN11" s="74" t="str">
        <f t="shared" si="10"/>
        <v/>
      </c>
      <c r="BO11" s="74" t="str">
        <f t="shared" si="10"/>
        <v/>
      </c>
      <c r="BP11" s="74" t="str">
        <f t="shared" si="10"/>
        <v/>
      </c>
      <c r="BQ11" s="74" t="str">
        <f t="shared" si="10"/>
        <v/>
      </c>
      <c r="BR11" s="78" t="str">
        <f t="shared" si="10"/>
        <v/>
      </c>
      <c r="BS11" s="78" t="str">
        <f t="shared" si="10"/>
        <v/>
      </c>
      <c r="BT11" s="74" t="str">
        <f t="shared" si="10"/>
        <v/>
      </c>
      <c r="BU11" s="74" t="str">
        <f t="shared" si="10"/>
        <v/>
      </c>
      <c r="BV11" s="74" t="str">
        <f t="shared" si="10"/>
        <v/>
      </c>
      <c r="BW11" s="74" t="str">
        <f t="shared" si="11"/>
        <v/>
      </c>
      <c r="BX11" s="74" t="str">
        <f t="shared" si="11"/>
        <v/>
      </c>
      <c r="BY11" s="78" t="str">
        <f t="shared" si="11"/>
        <v/>
      </c>
      <c r="BZ11" s="78" t="str">
        <f t="shared" si="11"/>
        <v/>
      </c>
      <c r="CA11" s="74" t="str">
        <f t="shared" si="11"/>
        <v/>
      </c>
      <c r="CB11" s="74" t="str">
        <f t="shared" si="11"/>
        <v/>
      </c>
      <c r="CC11" s="74" t="str">
        <f t="shared" si="11"/>
        <v/>
      </c>
      <c r="CD11" s="74" t="str">
        <f t="shared" si="11"/>
        <v/>
      </c>
      <c r="CE11" s="74" t="str">
        <f t="shared" si="11"/>
        <v/>
      </c>
      <c r="CF11" s="78" t="str">
        <f t="shared" si="11"/>
        <v/>
      </c>
      <c r="CG11" s="78" t="str">
        <f t="shared" si="12"/>
        <v/>
      </c>
      <c r="CH11" s="74" t="str">
        <f t="shared" si="12"/>
        <v/>
      </c>
      <c r="CI11" s="74" t="str">
        <f t="shared" si="12"/>
        <v/>
      </c>
      <c r="CJ11" s="74" t="str">
        <f t="shared" si="12"/>
        <v/>
      </c>
      <c r="CK11" s="74" t="str">
        <f t="shared" si="12"/>
        <v/>
      </c>
      <c r="CL11" s="74" t="str">
        <f t="shared" si="12"/>
        <v/>
      </c>
      <c r="CM11" s="78" t="str">
        <f t="shared" si="12"/>
        <v/>
      </c>
      <c r="CN11" s="78" t="str">
        <f t="shared" si="12"/>
        <v/>
      </c>
      <c r="CO11" s="74" t="str">
        <f t="shared" si="12"/>
        <v/>
      </c>
      <c r="CP11" s="74" t="str">
        <f t="shared" si="12"/>
        <v/>
      </c>
      <c r="CQ11" s="74" t="str">
        <f t="shared" si="13"/>
        <v/>
      </c>
      <c r="CR11" s="74" t="str">
        <f t="shared" si="13"/>
        <v/>
      </c>
      <c r="CS11" s="74" t="str">
        <f t="shared" si="13"/>
        <v/>
      </c>
      <c r="CT11" s="78" t="str">
        <f t="shared" si="13"/>
        <v/>
      </c>
      <c r="CU11" s="78" t="str">
        <f t="shared" si="13"/>
        <v/>
      </c>
      <c r="CV11" s="74" t="str">
        <f t="shared" si="13"/>
        <v/>
      </c>
      <c r="CW11" s="74" t="str">
        <f t="shared" si="13"/>
        <v/>
      </c>
      <c r="CX11" s="74" t="str">
        <f t="shared" si="13"/>
        <v/>
      </c>
      <c r="CY11" s="74" t="str">
        <f t="shared" si="13"/>
        <v/>
      </c>
      <c r="CZ11" s="74" t="str">
        <f t="shared" si="13"/>
        <v/>
      </c>
      <c r="DA11" s="78" t="str">
        <f t="shared" si="14"/>
        <v/>
      </c>
      <c r="DB11" s="78" t="str">
        <f t="shared" si="14"/>
        <v/>
      </c>
      <c r="DC11" s="74" t="str">
        <f t="shared" si="14"/>
        <v/>
      </c>
      <c r="DD11" s="74" t="str">
        <f t="shared" si="14"/>
        <v/>
      </c>
      <c r="DE11" s="74" t="str">
        <f t="shared" si="14"/>
        <v/>
      </c>
      <c r="DF11" s="74" t="str">
        <f t="shared" si="14"/>
        <v/>
      </c>
      <c r="DG11" s="74" t="str">
        <f t="shared" si="14"/>
        <v/>
      </c>
      <c r="DH11" s="78" t="str">
        <f t="shared" si="14"/>
        <v/>
      </c>
      <c r="DI11" s="78" t="str">
        <f t="shared" si="14"/>
        <v/>
      </c>
      <c r="DJ11" s="74" t="str">
        <f t="shared" si="14"/>
        <v/>
      </c>
      <c r="DK11" s="74" t="str">
        <f t="shared" si="15"/>
        <v/>
      </c>
      <c r="DL11" s="74" t="str">
        <f t="shared" si="15"/>
        <v/>
      </c>
      <c r="DM11" s="74" t="str">
        <f t="shared" si="15"/>
        <v/>
      </c>
      <c r="DN11" s="74" t="str">
        <f t="shared" si="15"/>
        <v/>
      </c>
      <c r="DO11" s="78" t="str">
        <f t="shared" si="15"/>
        <v/>
      </c>
      <c r="DP11" s="78" t="str">
        <f t="shared" si="15"/>
        <v/>
      </c>
      <c r="DQ11" s="74" t="str">
        <f t="shared" si="15"/>
        <v/>
      </c>
      <c r="DR11" s="74" t="str">
        <f t="shared" si="15"/>
        <v/>
      </c>
      <c r="DS11" s="74" t="str">
        <f t="shared" si="15"/>
        <v/>
      </c>
      <c r="DT11" s="74" t="str">
        <f t="shared" si="15"/>
        <v/>
      </c>
      <c r="DU11" s="74" t="str">
        <f t="shared" si="16"/>
        <v/>
      </c>
      <c r="DV11" s="78" t="str">
        <f t="shared" si="16"/>
        <v/>
      </c>
      <c r="DW11" s="78" t="str">
        <f t="shared" si="16"/>
        <v/>
      </c>
      <c r="DX11" s="74" t="str">
        <f t="shared" si="16"/>
        <v/>
      </c>
      <c r="DY11" s="74" t="str">
        <f t="shared" si="16"/>
        <v/>
      </c>
      <c r="DZ11" s="74" t="str">
        <f t="shared" si="16"/>
        <v/>
      </c>
      <c r="EA11" s="74" t="str">
        <f t="shared" si="16"/>
        <v/>
      </c>
      <c r="EB11" s="74" t="str">
        <f t="shared" si="16"/>
        <v/>
      </c>
      <c r="EC11" s="78" t="str">
        <f t="shared" si="16"/>
        <v/>
      </c>
      <c r="ED11" s="78" t="str">
        <f t="shared" si="16"/>
        <v/>
      </c>
      <c r="EE11" s="74" t="str">
        <f t="shared" si="17"/>
        <v/>
      </c>
      <c r="EF11" s="74" t="str">
        <f t="shared" si="17"/>
        <v/>
      </c>
      <c r="EG11" s="74" t="str">
        <f t="shared" si="17"/>
        <v/>
      </c>
      <c r="EH11" s="74" t="str">
        <f t="shared" si="17"/>
        <v/>
      </c>
      <c r="EI11" s="74" t="str">
        <f t="shared" si="17"/>
        <v/>
      </c>
      <c r="EJ11" s="78" t="str">
        <f t="shared" si="17"/>
        <v/>
      </c>
      <c r="EK11" s="78" t="str">
        <f t="shared" si="17"/>
        <v/>
      </c>
      <c r="EL11" s="74" t="str">
        <f t="shared" si="17"/>
        <v/>
      </c>
      <c r="EM11" s="74" t="str">
        <f t="shared" si="17"/>
        <v/>
      </c>
      <c r="EN11" s="74" t="str">
        <f t="shared" si="17"/>
        <v/>
      </c>
      <c r="EO11" s="74" t="str">
        <f t="shared" si="18"/>
        <v/>
      </c>
      <c r="EP11" s="74" t="str">
        <f t="shared" si="18"/>
        <v/>
      </c>
      <c r="EQ11" s="78" t="str">
        <f t="shared" si="18"/>
        <v/>
      </c>
      <c r="ER11" s="78" t="str">
        <f t="shared" si="18"/>
        <v/>
      </c>
      <c r="ES11" s="74" t="str">
        <f t="shared" si="18"/>
        <v/>
      </c>
      <c r="ET11" s="74" t="str">
        <f t="shared" si="18"/>
        <v/>
      </c>
      <c r="EU11" s="74" t="str">
        <f t="shared" si="18"/>
        <v/>
      </c>
      <c r="EV11" s="74" t="str">
        <f t="shared" si="18"/>
        <v/>
      </c>
      <c r="EW11" s="74" t="str">
        <f t="shared" si="18"/>
        <v/>
      </c>
      <c r="EX11" s="78" t="str">
        <f t="shared" si="18"/>
        <v/>
      </c>
      <c r="EY11" s="78" t="str">
        <f t="shared" si="19"/>
        <v/>
      </c>
      <c r="EZ11" s="74" t="str">
        <f t="shared" si="19"/>
        <v/>
      </c>
      <c r="FA11" s="74" t="str">
        <f t="shared" si="19"/>
        <v/>
      </c>
      <c r="FB11" s="74" t="str">
        <f t="shared" si="19"/>
        <v/>
      </c>
      <c r="FC11" s="74" t="str">
        <f t="shared" si="19"/>
        <v/>
      </c>
      <c r="FD11" s="74" t="str">
        <f t="shared" si="19"/>
        <v/>
      </c>
      <c r="FE11" s="78" t="str">
        <f t="shared" si="19"/>
        <v/>
      </c>
      <c r="FF11" s="78" t="str">
        <f t="shared" si="19"/>
        <v/>
      </c>
      <c r="FG11" s="74" t="str">
        <f t="shared" si="19"/>
        <v/>
      </c>
      <c r="FH11" s="74" t="str">
        <f t="shared" si="19"/>
        <v/>
      </c>
      <c r="FI11" s="74" t="str">
        <f t="shared" si="20"/>
        <v/>
      </c>
      <c r="FJ11" s="74" t="str">
        <f t="shared" si="20"/>
        <v/>
      </c>
      <c r="FK11" s="74" t="str">
        <f t="shared" si="20"/>
        <v/>
      </c>
      <c r="FL11" s="78" t="str">
        <f t="shared" si="20"/>
        <v/>
      </c>
      <c r="FM11" s="78" t="str">
        <f t="shared" si="20"/>
        <v/>
      </c>
      <c r="FN11" s="74" t="str">
        <f t="shared" si="20"/>
        <v/>
      </c>
      <c r="FO11" s="74" t="str">
        <f t="shared" si="20"/>
        <v/>
      </c>
      <c r="FP11" s="74" t="str">
        <f t="shared" si="20"/>
        <v/>
      </c>
      <c r="FQ11" s="74" t="str">
        <f t="shared" si="20"/>
        <v/>
      </c>
      <c r="FR11" s="74" t="str">
        <f t="shared" si="20"/>
        <v/>
      </c>
      <c r="FS11" s="78" t="str">
        <f t="shared" si="21"/>
        <v/>
      </c>
      <c r="FT11" s="78" t="str">
        <f t="shared" si="21"/>
        <v/>
      </c>
      <c r="FU11" s="74" t="str">
        <f t="shared" si="21"/>
        <v/>
      </c>
      <c r="FV11" s="74" t="str">
        <f t="shared" si="21"/>
        <v/>
      </c>
      <c r="FW11" s="74" t="str">
        <f t="shared" si="21"/>
        <v/>
      </c>
      <c r="FX11" s="74" t="str">
        <f t="shared" si="21"/>
        <v/>
      </c>
      <c r="FY11" s="74" t="str">
        <f t="shared" si="21"/>
        <v/>
      </c>
      <c r="FZ11" s="78" t="str">
        <f t="shared" si="21"/>
        <v/>
      </c>
      <c r="GA11" s="78" t="str">
        <f t="shared" si="21"/>
        <v/>
      </c>
      <c r="GB11" s="74" t="str">
        <f t="shared" si="21"/>
        <v/>
      </c>
      <c r="GC11" s="74" t="str">
        <f t="shared" si="22"/>
        <v/>
      </c>
      <c r="GD11" s="74" t="str">
        <f t="shared" si="22"/>
        <v/>
      </c>
      <c r="GE11" s="74" t="str">
        <f t="shared" si="22"/>
        <v/>
      </c>
      <c r="GF11" s="74" t="str">
        <f t="shared" si="22"/>
        <v/>
      </c>
      <c r="GG11" s="78" t="str">
        <f t="shared" si="22"/>
        <v/>
      </c>
      <c r="GH11" s="78" t="str">
        <f t="shared" si="22"/>
        <v/>
      </c>
      <c r="GI11" s="74" t="str">
        <f t="shared" si="22"/>
        <v/>
      </c>
      <c r="GJ11" s="74" t="str">
        <f t="shared" si="22"/>
        <v/>
      </c>
      <c r="GK11" s="74" t="str">
        <f t="shared" si="22"/>
        <v/>
      </c>
      <c r="GL11" s="74" t="str">
        <f t="shared" si="22"/>
        <v/>
      </c>
      <c r="GM11" s="74" t="str">
        <f t="shared" si="23"/>
        <v/>
      </c>
      <c r="GN11" s="78" t="str">
        <f t="shared" si="23"/>
        <v/>
      </c>
      <c r="GO11" s="78" t="str">
        <f t="shared" si="23"/>
        <v/>
      </c>
      <c r="GP11" s="74" t="str">
        <f t="shared" si="23"/>
        <v/>
      </c>
      <c r="GQ11" s="74" t="str">
        <f t="shared" si="23"/>
        <v/>
      </c>
      <c r="GR11" s="74" t="str">
        <f t="shared" si="23"/>
        <v/>
      </c>
      <c r="GS11" s="74" t="str">
        <f t="shared" si="23"/>
        <v/>
      </c>
      <c r="GT11" s="74" t="str">
        <f t="shared" si="23"/>
        <v/>
      </c>
      <c r="GU11" s="78" t="str">
        <f t="shared" si="23"/>
        <v/>
      </c>
      <c r="GV11" s="78" t="str">
        <f t="shared" si="23"/>
        <v/>
      </c>
      <c r="GW11" s="74" t="str">
        <f t="shared" si="24"/>
        <v/>
      </c>
      <c r="GX11" s="74" t="str">
        <f t="shared" si="24"/>
        <v/>
      </c>
      <c r="GY11" s="74" t="str">
        <f t="shared" si="24"/>
        <v/>
      </c>
      <c r="GZ11" s="74" t="str">
        <f t="shared" si="24"/>
        <v/>
      </c>
      <c r="HA11" s="74" t="str">
        <f t="shared" si="24"/>
        <v/>
      </c>
      <c r="HB11" s="78" t="str">
        <f t="shared" si="24"/>
        <v/>
      </c>
      <c r="HC11" s="78" t="str">
        <f t="shared" si="24"/>
        <v/>
      </c>
      <c r="HD11" s="74" t="str">
        <f t="shared" si="24"/>
        <v/>
      </c>
      <c r="HE11" s="74" t="str">
        <f t="shared" si="24"/>
        <v/>
      </c>
      <c r="HF11" s="74" t="str">
        <f t="shared" si="24"/>
        <v/>
      </c>
      <c r="HG11" s="74" t="str">
        <f t="shared" si="24"/>
        <v/>
      </c>
      <c r="HH11" s="74" t="str">
        <f t="shared" si="24"/>
        <v/>
      </c>
    </row>
    <row r="12" spans="1:216" x14ac:dyDescent="0.2">
      <c r="A12" s="82" t="str">
        <f>'FY1 Event Pipeline'!A9</f>
        <v>MOTN AAN</v>
      </c>
      <c r="B12" s="83">
        <f>_xlfn.XLOOKUP(A12,'FY1 Event Pipeline'!$A$4:$A$15,'FY1 Event Pipeline'!$H$4:$H$15)</f>
        <v>46336</v>
      </c>
      <c r="C12" s="83">
        <f>_xlfn.XLOOKUP(A12,'FY1 Event Pipeline'!$A$4:$A$15,'FY1 Event Pipeline'!$J$4:$J$15)</f>
        <v>46362</v>
      </c>
      <c r="D12" s="84">
        <f>_xlfn.XLOOKUP(A12,'FY1 Event Pipeline'!$A$4:$A$15,'FY1 Event Pipeline'!$N$4:$N$15)</f>
        <v>18</v>
      </c>
      <c r="E12" s="74" t="str">
        <f t="shared" si="4"/>
        <v/>
      </c>
      <c r="F12" s="74" t="str">
        <f t="shared" si="4"/>
        <v/>
      </c>
      <c r="G12" s="78" t="str">
        <f t="shared" si="4"/>
        <v/>
      </c>
      <c r="H12" s="78" t="str">
        <f t="shared" si="4"/>
        <v/>
      </c>
      <c r="I12" s="74" t="str">
        <f t="shared" si="4"/>
        <v/>
      </c>
      <c r="J12" s="74" t="str">
        <f t="shared" si="4"/>
        <v/>
      </c>
      <c r="K12" s="74" t="str">
        <f t="shared" si="4"/>
        <v/>
      </c>
      <c r="L12" s="74" t="str">
        <f t="shared" si="4"/>
        <v/>
      </c>
      <c r="M12" s="74" t="str">
        <f t="shared" si="4"/>
        <v/>
      </c>
      <c r="N12" s="78" t="str">
        <f t="shared" si="4"/>
        <v/>
      </c>
      <c r="O12" s="78" t="str">
        <f t="shared" si="5"/>
        <v/>
      </c>
      <c r="P12" s="74" t="str">
        <f t="shared" si="5"/>
        <v/>
      </c>
      <c r="Q12" s="74" t="str">
        <f t="shared" si="5"/>
        <v/>
      </c>
      <c r="R12" s="74" t="str">
        <f t="shared" si="5"/>
        <v/>
      </c>
      <c r="S12" s="74" t="str">
        <f t="shared" si="5"/>
        <v/>
      </c>
      <c r="T12" s="74" t="str">
        <f t="shared" si="5"/>
        <v/>
      </c>
      <c r="U12" s="78" t="str">
        <f t="shared" si="5"/>
        <v/>
      </c>
      <c r="V12" s="78" t="str">
        <f t="shared" si="5"/>
        <v/>
      </c>
      <c r="W12" s="74" t="str">
        <f t="shared" si="5"/>
        <v/>
      </c>
      <c r="X12" s="74" t="str">
        <f t="shared" si="5"/>
        <v/>
      </c>
      <c r="Y12" s="74" t="str">
        <f t="shared" si="6"/>
        <v/>
      </c>
      <c r="Z12" s="74" t="str">
        <f t="shared" si="6"/>
        <v/>
      </c>
      <c r="AA12" s="74" t="str">
        <f t="shared" si="6"/>
        <v/>
      </c>
      <c r="AB12" s="78" t="str">
        <f t="shared" si="6"/>
        <v/>
      </c>
      <c r="AC12" s="78" t="str">
        <f t="shared" si="6"/>
        <v/>
      </c>
      <c r="AD12" s="74" t="str">
        <f t="shared" si="6"/>
        <v/>
      </c>
      <c r="AE12" s="74" t="str">
        <f t="shared" si="6"/>
        <v/>
      </c>
      <c r="AF12" s="74" t="str">
        <f t="shared" si="6"/>
        <v/>
      </c>
      <c r="AG12" s="74" t="str">
        <f t="shared" si="6"/>
        <v/>
      </c>
      <c r="AH12" s="74" t="str">
        <f t="shared" si="6"/>
        <v/>
      </c>
      <c r="AI12" s="78" t="str">
        <f t="shared" si="7"/>
        <v/>
      </c>
      <c r="AJ12" s="78" t="str">
        <f t="shared" si="7"/>
        <v/>
      </c>
      <c r="AK12" s="74" t="str">
        <f t="shared" si="7"/>
        <v/>
      </c>
      <c r="AL12" s="74" t="str">
        <f t="shared" si="7"/>
        <v/>
      </c>
      <c r="AM12" s="74" t="str">
        <f t="shared" si="7"/>
        <v/>
      </c>
      <c r="AN12" s="74" t="str">
        <f t="shared" si="7"/>
        <v/>
      </c>
      <c r="AO12" s="74" t="str">
        <f t="shared" si="7"/>
        <v/>
      </c>
      <c r="AP12" s="78" t="str">
        <f t="shared" si="7"/>
        <v/>
      </c>
      <c r="AQ12" s="78" t="str">
        <f t="shared" si="7"/>
        <v/>
      </c>
      <c r="AR12" s="74" t="str">
        <f t="shared" si="7"/>
        <v/>
      </c>
      <c r="AS12" s="75">
        <f t="shared" si="8"/>
        <v>18</v>
      </c>
      <c r="AT12" s="75">
        <f t="shared" si="8"/>
        <v>18</v>
      </c>
      <c r="AU12" s="75">
        <f t="shared" si="8"/>
        <v>18</v>
      </c>
      <c r="AV12" s="75">
        <f t="shared" si="8"/>
        <v>18</v>
      </c>
      <c r="AW12" s="75">
        <f t="shared" si="8"/>
        <v>18</v>
      </c>
      <c r="AX12" s="75">
        <f t="shared" si="8"/>
        <v>18</v>
      </c>
      <c r="AY12" s="75">
        <f t="shared" si="8"/>
        <v>18</v>
      </c>
      <c r="AZ12" s="75">
        <f t="shared" si="8"/>
        <v>18</v>
      </c>
      <c r="BA12" s="75">
        <f t="shared" si="8"/>
        <v>18</v>
      </c>
      <c r="BB12" s="75">
        <f t="shared" si="8"/>
        <v>18</v>
      </c>
      <c r="BC12" s="75">
        <f t="shared" si="9"/>
        <v>18</v>
      </c>
      <c r="BD12" s="75">
        <f t="shared" si="9"/>
        <v>18</v>
      </c>
      <c r="BE12" s="75">
        <f t="shared" si="9"/>
        <v>18</v>
      </c>
      <c r="BF12" s="75">
        <f t="shared" si="9"/>
        <v>18</v>
      </c>
      <c r="BG12" s="76">
        <f t="shared" si="9"/>
        <v>18</v>
      </c>
      <c r="BH12" s="76">
        <f t="shared" si="9"/>
        <v>18</v>
      </c>
      <c r="BI12" s="76">
        <f t="shared" si="9"/>
        <v>18</v>
      </c>
      <c r="BJ12" s="76">
        <f t="shared" si="9"/>
        <v>18</v>
      </c>
      <c r="BK12" s="76">
        <f t="shared" si="9"/>
        <v>18</v>
      </c>
      <c r="BL12" s="76">
        <f t="shared" si="9"/>
        <v>18</v>
      </c>
      <c r="BM12" s="76">
        <f t="shared" si="10"/>
        <v>18</v>
      </c>
      <c r="BN12" s="76">
        <f t="shared" si="10"/>
        <v>18</v>
      </c>
      <c r="BO12" s="76">
        <f t="shared" si="10"/>
        <v>18</v>
      </c>
      <c r="BP12" s="77">
        <f t="shared" si="10"/>
        <v>18</v>
      </c>
      <c r="BQ12" s="77">
        <f t="shared" si="10"/>
        <v>18</v>
      </c>
      <c r="BR12" s="77">
        <f t="shared" si="10"/>
        <v>18</v>
      </c>
      <c r="BS12" s="77">
        <f t="shared" si="10"/>
        <v>18</v>
      </c>
      <c r="BT12" s="74" t="str">
        <f t="shared" si="10"/>
        <v/>
      </c>
      <c r="BU12" s="74" t="str">
        <f t="shared" si="10"/>
        <v/>
      </c>
      <c r="BV12" s="74" t="str">
        <f t="shared" si="10"/>
        <v/>
      </c>
      <c r="BW12" s="74" t="str">
        <f t="shared" si="11"/>
        <v/>
      </c>
      <c r="BX12" s="74" t="str">
        <f t="shared" si="11"/>
        <v/>
      </c>
      <c r="BY12" s="78" t="str">
        <f t="shared" si="11"/>
        <v/>
      </c>
      <c r="BZ12" s="78" t="str">
        <f t="shared" si="11"/>
        <v/>
      </c>
      <c r="CA12" s="74" t="str">
        <f t="shared" si="11"/>
        <v/>
      </c>
      <c r="CB12" s="74" t="str">
        <f t="shared" si="11"/>
        <v/>
      </c>
      <c r="CC12" s="74" t="str">
        <f t="shared" si="11"/>
        <v/>
      </c>
      <c r="CD12" s="74" t="str">
        <f t="shared" si="11"/>
        <v/>
      </c>
      <c r="CE12" s="74" t="str">
        <f t="shared" si="11"/>
        <v/>
      </c>
      <c r="CF12" s="78" t="str">
        <f t="shared" si="11"/>
        <v/>
      </c>
      <c r="CG12" s="78" t="str">
        <f t="shared" si="12"/>
        <v/>
      </c>
      <c r="CH12" s="74" t="str">
        <f t="shared" si="12"/>
        <v/>
      </c>
      <c r="CI12" s="74" t="str">
        <f t="shared" si="12"/>
        <v/>
      </c>
      <c r="CJ12" s="74" t="str">
        <f t="shared" si="12"/>
        <v/>
      </c>
      <c r="CK12" s="74" t="str">
        <f t="shared" si="12"/>
        <v/>
      </c>
      <c r="CL12" s="74" t="str">
        <f t="shared" si="12"/>
        <v/>
      </c>
      <c r="CM12" s="78" t="str">
        <f t="shared" si="12"/>
        <v/>
      </c>
      <c r="CN12" s="78" t="str">
        <f t="shared" si="12"/>
        <v/>
      </c>
      <c r="CO12" s="74" t="str">
        <f t="shared" si="12"/>
        <v/>
      </c>
      <c r="CP12" s="74" t="str">
        <f t="shared" si="12"/>
        <v/>
      </c>
      <c r="CQ12" s="74" t="str">
        <f t="shared" si="13"/>
        <v/>
      </c>
      <c r="CR12" s="74" t="str">
        <f t="shared" si="13"/>
        <v/>
      </c>
      <c r="CS12" s="74" t="str">
        <f t="shared" si="13"/>
        <v/>
      </c>
      <c r="CT12" s="78" t="str">
        <f t="shared" si="13"/>
        <v/>
      </c>
      <c r="CU12" s="78" t="str">
        <f t="shared" si="13"/>
        <v/>
      </c>
      <c r="CV12" s="74" t="str">
        <f t="shared" si="13"/>
        <v/>
      </c>
      <c r="CW12" s="74" t="str">
        <f t="shared" si="13"/>
        <v/>
      </c>
      <c r="CX12" s="74" t="str">
        <f t="shared" si="13"/>
        <v/>
      </c>
      <c r="CY12" s="74" t="str">
        <f t="shared" si="13"/>
        <v/>
      </c>
      <c r="CZ12" s="74" t="str">
        <f t="shared" si="13"/>
        <v/>
      </c>
      <c r="DA12" s="78" t="str">
        <f t="shared" si="14"/>
        <v/>
      </c>
      <c r="DB12" s="78" t="str">
        <f t="shared" si="14"/>
        <v/>
      </c>
      <c r="DC12" s="74" t="str">
        <f t="shared" si="14"/>
        <v/>
      </c>
      <c r="DD12" s="74" t="str">
        <f t="shared" si="14"/>
        <v/>
      </c>
      <c r="DE12" s="74" t="str">
        <f t="shared" si="14"/>
        <v/>
      </c>
      <c r="DF12" s="74" t="str">
        <f t="shared" si="14"/>
        <v/>
      </c>
      <c r="DG12" s="74" t="str">
        <f t="shared" si="14"/>
        <v/>
      </c>
      <c r="DH12" s="78" t="str">
        <f t="shared" si="14"/>
        <v/>
      </c>
      <c r="DI12" s="78" t="str">
        <f t="shared" si="14"/>
        <v/>
      </c>
      <c r="DJ12" s="74" t="str">
        <f t="shared" si="14"/>
        <v/>
      </c>
      <c r="DK12" s="74" t="str">
        <f t="shared" si="15"/>
        <v/>
      </c>
      <c r="DL12" s="74" t="str">
        <f t="shared" si="15"/>
        <v/>
      </c>
      <c r="DM12" s="74" t="str">
        <f t="shared" si="15"/>
        <v/>
      </c>
      <c r="DN12" s="74" t="str">
        <f t="shared" si="15"/>
        <v/>
      </c>
      <c r="DO12" s="78" t="str">
        <f t="shared" si="15"/>
        <v/>
      </c>
      <c r="DP12" s="78" t="str">
        <f t="shared" si="15"/>
        <v/>
      </c>
      <c r="DQ12" s="74" t="str">
        <f t="shared" si="15"/>
        <v/>
      </c>
      <c r="DR12" s="74" t="str">
        <f t="shared" si="15"/>
        <v/>
      </c>
      <c r="DS12" s="74" t="str">
        <f t="shared" si="15"/>
        <v/>
      </c>
      <c r="DT12" s="74" t="str">
        <f t="shared" si="15"/>
        <v/>
      </c>
      <c r="DU12" s="74" t="str">
        <f t="shared" si="16"/>
        <v/>
      </c>
      <c r="DV12" s="78" t="str">
        <f t="shared" si="16"/>
        <v/>
      </c>
      <c r="DW12" s="78" t="str">
        <f t="shared" si="16"/>
        <v/>
      </c>
      <c r="DX12" s="74" t="str">
        <f t="shared" si="16"/>
        <v/>
      </c>
      <c r="DY12" s="74" t="str">
        <f t="shared" si="16"/>
        <v/>
      </c>
      <c r="DZ12" s="74" t="str">
        <f t="shared" si="16"/>
        <v/>
      </c>
      <c r="EA12" s="74" t="str">
        <f t="shared" si="16"/>
        <v/>
      </c>
      <c r="EB12" s="74" t="str">
        <f t="shared" si="16"/>
        <v/>
      </c>
      <c r="EC12" s="78" t="str">
        <f t="shared" si="16"/>
        <v/>
      </c>
      <c r="ED12" s="78" t="str">
        <f t="shared" si="16"/>
        <v/>
      </c>
      <c r="EE12" s="74" t="str">
        <f t="shared" si="17"/>
        <v/>
      </c>
      <c r="EF12" s="74" t="str">
        <f t="shared" si="17"/>
        <v/>
      </c>
      <c r="EG12" s="74" t="str">
        <f t="shared" si="17"/>
        <v/>
      </c>
      <c r="EH12" s="74" t="str">
        <f t="shared" si="17"/>
        <v/>
      </c>
      <c r="EI12" s="74" t="str">
        <f t="shared" si="17"/>
        <v/>
      </c>
      <c r="EJ12" s="78" t="str">
        <f t="shared" si="17"/>
        <v/>
      </c>
      <c r="EK12" s="78" t="str">
        <f t="shared" si="17"/>
        <v/>
      </c>
      <c r="EL12" s="74" t="str">
        <f t="shared" si="17"/>
        <v/>
      </c>
      <c r="EM12" s="74" t="str">
        <f t="shared" si="17"/>
        <v/>
      </c>
      <c r="EN12" s="74" t="str">
        <f t="shared" si="17"/>
        <v/>
      </c>
      <c r="EO12" s="74" t="str">
        <f t="shared" si="18"/>
        <v/>
      </c>
      <c r="EP12" s="74" t="str">
        <f t="shared" si="18"/>
        <v/>
      </c>
      <c r="EQ12" s="78" t="str">
        <f t="shared" si="18"/>
        <v/>
      </c>
      <c r="ER12" s="78" t="str">
        <f t="shared" si="18"/>
        <v/>
      </c>
      <c r="ES12" s="74" t="str">
        <f t="shared" si="18"/>
        <v/>
      </c>
      <c r="ET12" s="74" t="str">
        <f t="shared" si="18"/>
        <v/>
      </c>
      <c r="EU12" s="74" t="str">
        <f t="shared" si="18"/>
        <v/>
      </c>
      <c r="EV12" s="74" t="str">
        <f t="shared" si="18"/>
        <v/>
      </c>
      <c r="EW12" s="74" t="str">
        <f t="shared" si="18"/>
        <v/>
      </c>
      <c r="EX12" s="78" t="str">
        <f t="shared" si="18"/>
        <v/>
      </c>
      <c r="EY12" s="78" t="str">
        <f t="shared" si="19"/>
        <v/>
      </c>
      <c r="EZ12" s="74" t="str">
        <f t="shared" si="19"/>
        <v/>
      </c>
      <c r="FA12" s="74" t="str">
        <f t="shared" si="19"/>
        <v/>
      </c>
      <c r="FB12" s="74" t="str">
        <f t="shared" si="19"/>
        <v/>
      </c>
      <c r="FC12" s="74" t="str">
        <f t="shared" si="19"/>
        <v/>
      </c>
      <c r="FD12" s="74" t="str">
        <f t="shared" si="19"/>
        <v/>
      </c>
      <c r="FE12" s="78" t="str">
        <f t="shared" si="19"/>
        <v/>
      </c>
      <c r="FF12" s="78" t="str">
        <f t="shared" si="19"/>
        <v/>
      </c>
      <c r="FG12" s="74" t="str">
        <f t="shared" si="19"/>
        <v/>
      </c>
      <c r="FH12" s="74" t="str">
        <f t="shared" si="19"/>
        <v/>
      </c>
      <c r="FI12" s="74" t="str">
        <f t="shared" si="20"/>
        <v/>
      </c>
      <c r="FJ12" s="74" t="str">
        <f t="shared" si="20"/>
        <v/>
      </c>
      <c r="FK12" s="74" t="str">
        <f t="shared" si="20"/>
        <v/>
      </c>
      <c r="FL12" s="78" t="str">
        <f t="shared" si="20"/>
        <v/>
      </c>
      <c r="FM12" s="78" t="str">
        <f t="shared" si="20"/>
        <v/>
      </c>
      <c r="FN12" s="74" t="str">
        <f t="shared" si="20"/>
        <v/>
      </c>
      <c r="FO12" s="74" t="str">
        <f t="shared" si="20"/>
        <v/>
      </c>
      <c r="FP12" s="74" t="str">
        <f t="shared" si="20"/>
        <v/>
      </c>
      <c r="FQ12" s="74" t="str">
        <f t="shared" si="20"/>
        <v/>
      </c>
      <c r="FR12" s="74" t="str">
        <f t="shared" si="20"/>
        <v/>
      </c>
      <c r="FS12" s="78" t="str">
        <f t="shared" si="21"/>
        <v/>
      </c>
      <c r="FT12" s="78" t="str">
        <f t="shared" si="21"/>
        <v/>
      </c>
      <c r="FU12" s="74" t="str">
        <f t="shared" si="21"/>
        <v/>
      </c>
      <c r="FV12" s="74" t="str">
        <f t="shared" si="21"/>
        <v/>
      </c>
      <c r="FW12" s="74" t="str">
        <f t="shared" si="21"/>
        <v/>
      </c>
      <c r="FX12" s="74" t="str">
        <f t="shared" si="21"/>
        <v/>
      </c>
      <c r="FY12" s="74" t="str">
        <f t="shared" si="21"/>
        <v/>
      </c>
      <c r="FZ12" s="78" t="str">
        <f t="shared" si="21"/>
        <v/>
      </c>
      <c r="GA12" s="78" t="str">
        <f t="shared" si="21"/>
        <v/>
      </c>
      <c r="GB12" s="74" t="str">
        <f t="shared" si="21"/>
        <v/>
      </c>
      <c r="GC12" s="74" t="str">
        <f t="shared" si="22"/>
        <v/>
      </c>
      <c r="GD12" s="74" t="str">
        <f t="shared" si="22"/>
        <v/>
      </c>
      <c r="GE12" s="74" t="str">
        <f t="shared" si="22"/>
        <v/>
      </c>
      <c r="GF12" s="74" t="str">
        <f t="shared" si="22"/>
        <v/>
      </c>
      <c r="GG12" s="78" t="str">
        <f t="shared" si="22"/>
        <v/>
      </c>
      <c r="GH12" s="78" t="str">
        <f t="shared" si="22"/>
        <v/>
      </c>
      <c r="GI12" s="74" t="str">
        <f t="shared" si="22"/>
        <v/>
      </c>
      <c r="GJ12" s="74" t="str">
        <f t="shared" si="22"/>
        <v/>
      </c>
      <c r="GK12" s="74" t="str">
        <f t="shared" si="22"/>
        <v/>
      </c>
      <c r="GL12" s="74" t="str">
        <f t="shared" si="22"/>
        <v/>
      </c>
      <c r="GM12" s="74" t="str">
        <f t="shared" si="23"/>
        <v/>
      </c>
      <c r="GN12" s="78" t="str">
        <f t="shared" si="23"/>
        <v/>
      </c>
      <c r="GO12" s="78" t="str">
        <f t="shared" si="23"/>
        <v/>
      </c>
      <c r="GP12" s="74" t="str">
        <f t="shared" si="23"/>
        <v/>
      </c>
      <c r="GQ12" s="74" t="str">
        <f t="shared" si="23"/>
        <v/>
      </c>
      <c r="GR12" s="74" t="str">
        <f t="shared" si="23"/>
        <v/>
      </c>
      <c r="GS12" s="74" t="str">
        <f t="shared" si="23"/>
        <v/>
      </c>
      <c r="GT12" s="74" t="str">
        <f t="shared" si="23"/>
        <v/>
      </c>
      <c r="GU12" s="78" t="str">
        <f t="shared" si="23"/>
        <v/>
      </c>
      <c r="GV12" s="78" t="str">
        <f t="shared" si="23"/>
        <v/>
      </c>
      <c r="GW12" s="74" t="str">
        <f t="shared" si="24"/>
        <v/>
      </c>
      <c r="GX12" s="74" t="str">
        <f t="shared" si="24"/>
        <v/>
      </c>
      <c r="GY12" s="74" t="str">
        <f t="shared" si="24"/>
        <v/>
      </c>
      <c r="GZ12" s="74" t="str">
        <f t="shared" si="24"/>
        <v/>
      </c>
      <c r="HA12" s="74" t="str">
        <f t="shared" si="24"/>
        <v/>
      </c>
      <c r="HB12" s="78" t="str">
        <f t="shared" si="24"/>
        <v/>
      </c>
      <c r="HC12" s="78" t="str">
        <f t="shared" si="24"/>
        <v/>
      </c>
      <c r="HD12" s="74" t="str">
        <f t="shared" si="24"/>
        <v/>
      </c>
      <c r="HE12" s="74" t="str">
        <f t="shared" si="24"/>
        <v/>
      </c>
      <c r="HF12" s="74" t="str">
        <f t="shared" si="24"/>
        <v/>
      </c>
      <c r="HG12" s="74" t="str">
        <f t="shared" si="24"/>
        <v/>
      </c>
      <c r="HH12" s="74" t="str">
        <f t="shared" si="24"/>
        <v/>
      </c>
    </row>
    <row r="13" spans="1:216" x14ac:dyDescent="0.2">
      <c r="A13" s="82" t="str">
        <f>'FY1 Event Pipeline'!A10</f>
        <v>F1 Afterparty</v>
      </c>
      <c r="B13" s="83">
        <f>_xlfn.XLOOKUP(A13,'FY1 Event Pipeline'!$A$4:$A$15,'FY1 Event Pipeline'!$H$4:$H$15)</f>
        <v>46353</v>
      </c>
      <c r="C13" s="83">
        <f>_xlfn.XLOOKUP(A13,'FY1 Event Pipeline'!$A$4:$A$15,'FY1 Event Pipeline'!$J$4:$J$15)</f>
        <v>46365</v>
      </c>
      <c r="D13" s="84">
        <f>_xlfn.XLOOKUP(A13,'FY1 Event Pipeline'!$A$4:$A$15,'FY1 Event Pipeline'!$N$4:$N$15)</f>
        <v>29</v>
      </c>
      <c r="E13" s="74" t="str">
        <f t="shared" si="4"/>
        <v/>
      </c>
      <c r="F13" s="74" t="str">
        <f t="shared" si="4"/>
        <v/>
      </c>
      <c r="G13" s="78" t="str">
        <f t="shared" si="4"/>
        <v/>
      </c>
      <c r="H13" s="78" t="str">
        <f t="shared" si="4"/>
        <v/>
      </c>
      <c r="I13" s="74" t="str">
        <f t="shared" si="4"/>
        <v/>
      </c>
      <c r="J13" s="74" t="str">
        <f t="shared" si="4"/>
        <v/>
      </c>
      <c r="K13" s="74" t="str">
        <f t="shared" si="4"/>
        <v/>
      </c>
      <c r="L13" s="74" t="str">
        <f t="shared" si="4"/>
        <v/>
      </c>
      <c r="M13" s="74" t="str">
        <f t="shared" si="4"/>
        <v/>
      </c>
      <c r="N13" s="78" t="str">
        <f t="shared" si="4"/>
        <v/>
      </c>
      <c r="O13" s="78" t="str">
        <f t="shared" si="5"/>
        <v/>
      </c>
      <c r="P13" s="74" t="str">
        <f t="shared" si="5"/>
        <v/>
      </c>
      <c r="Q13" s="74" t="str">
        <f t="shared" si="5"/>
        <v/>
      </c>
      <c r="R13" s="74" t="str">
        <f t="shared" si="5"/>
        <v/>
      </c>
      <c r="S13" s="74" t="str">
        <f t="shared" si="5"/>
        <v/>
      </c>
      <c r="T13" s="74" t="str">
        <f t="shared" si="5"/>
        <v/>
      </c>
      <c r="U13" s="78" t="str">
        <f t="shared" si="5"/>
        <v/>
      </c>
      <c r="V13" s="78" t="str">
        <f t="shared" si="5"/>
        <v/>
      </c>
      <c r="W13" s="74" t="str">
        <f t="shared" si="5"/>
        <v/>
      </c>
      <c r="X13" s="74" t="str">
        <f t="shared" si="5"/>
        <v/>
      </c>
      <c r="Y13" s="74" t="str">
        <f t="shared" si="6"/>
        <v/>
      </c>
      <c r="Z13" s="74" t="str">
        <f t="shared" si="6"/>
        <v/>
      </c>
      <c r="AA13" s="74" t="str">
        <f t="shared" si="6"/>
        <v/>
      </c>
      <c r="AB13" s="78" t="str">
        <f t="shared" si="6"/>
        <v/>
      </c>
      <c r="AC13" s="78" t="str">
        <f t="shared" si="6"/>
        <v/>
      </c>
      <c r="AD13" s="74" t="str">
        <f t="shared" si="6"/>
        <v/>
      </c>
      <c r="AE13" s="74" t="str">
        <f t="shared" si="6"/>
        <v/>
      </c>
      <c r="AF13" s="74" t="str">
        <f t="shared" si="6"/>
        <v/>
      </c>
      <c r="AG13" s="74" t="str">
        <f t="shared" si="6"/>
        <v/>
      </c>
      <c r="AH13" s="74" t="str">
        <f t="shared" si="6"/>
        <v/>
      </c>
      <c r="AI13" s="78" t="str">
        <f t="shared" si="7"/>
        <v/>
      </c>
      <c r="AJ13" s="78" t="str">
        <f t="shared" si="7"/>
        <v/>
      </c>
      <c r="AK13" s="74" t="str">
        <f t="shared" si="7"/>
        <v/>
      </c>
      <c r="AL13" s="74" t="str">
        <f t="shared" si="7"/>
        <v/>
      </c>
      <c r="AM13" s="74" t="str">
        <f t="shared" si="7"/>
        <v/>
      </c>
      <c r="AN13" s="74" t="str">
        <f t="shared" si="7"/>
        <v/>
      </c>
      <c r="AO13" s="74" t="str">
        <f t="shared" si="7"/>
        <v/>
      </c>
      <c r="AP13" s="78" t="str">
        <f t="shared" si="7"/>
        <v/>
      </c>
      <c r="AQ13" s="78" t="str">
        <f t="shared" si="7"/>
        <v/>
      </c>
      <c r="AR13" s="74" t="str">
        <f t="shared" si="7"/>
        <v/>
      </c>
      <c r="AS13" s="74" t="str">
        <f t="shared" si="8"/>
        <v/>
      </c>
      <c r="AT13" s="74" t="str">
        <f t="shared" si="8"/>
        <v/>
      </c>
      <c r="AU13" s="74" t="str">
        <f t="shared" si="8"/>
        <v/>
      </c>
      <c r="AV13" s="74" t="str">
        <f t="shared" si="8"/>
        <v/>
      </c>
      <c r="AW13" s="78" t="str">
        <f t="shared" si="8"/>
        <v/>
      </c>
      <c r="AX13" s="78" t="str">
        <f t="shared" si="8"/>
        <v/>
      </c>
      <c r="AY13" s="74" t="str">
        <f t="shared" si="8"/>
        <v/>
      </c>
      <c r="AZ13" s="74" t="str">
        <f t="shared" si="8"/>
        <v/>
      </c>
      <c r="BA13" s="74" t="str">
        <f t="shared" si="8"/>
        <v/>
      </c>
      <c r="BB13" s="74" t="str">
        <f t="shared" si="8"/>
        <v/>
      </c>
      <c r="BC13" s="74" t="str">
        <f t="shared" si="9"/>
        <v/>
      </c>
      <c r="BD13" s="78" t="str">
        <f t="shared" si="9"/>
        <v/>
      </c>
      <c r="BE13" s="78" t="str">
        <f t="shared" si="9"/>
        <v/>
      </c>
      <c r="BF13" s="74" t="str">
        <f t="shared" si="9"/>
        <v/>
      </c>
      <c r="BG13" s="74" t="str">
        <f t="shared" si="9"/>
        <v/>
      </c>
      <c r="BH13" s="74" t="str">
        <f t="shared" si="9"/>
        <v/>
      </c>
      <c r="BI13" s="74" t="str">
        <f t="shared" si="9"/>
        <v/>
      </c>
      <c r="BJ13" s="75">
        <f t="shared" si="9"/>
        <v>29</v>
      </c>
      <c r="BK13" s="75">
        <f t="shared" si="9"/>
        <v>29</v>
      </c>
      <c r="BL13" s="75">
        <f t="shared" si="9"/>
        <v>29</v>
      </c>
      <c r="BM13" s="75">
        <f t="shared" si="10"/>
        <v>29</v>
      </c>
      <c r="BN13" s="75">
        <f t="shared" si="10"/>
        <v>29</v>
      </c>
      <c r="BO13" s="75">
        <f t="shared" si="10"/>
        <v>29</v>
      </c>
      <c r="BP13" s="75">
        <f t="shared" si="10"/>
        <v>29</v>
      </c>
      <c r="BQ13" s="76">
        <f t="shared" si="10"/>
        <v>29</v>
      </c>
      <c r="BR13" s="76">
        <f t="shared" si="10"/>
        <v>29</v>
      </c>
      <c r="BS13" s="76">
        <f t="shared" si="10"/>
        <v>29</v>
      </c>
      <c r="BT13" s="77">
        <f t="shared" si="10"/>
        <v>29</v>
      </c>
      <c r="BU13" s="77">
        <f t="shared" si="10"/>
        <v>29</v>
      </c>
      <c r="BV13" s="77">
        <f t="shared" si="10"/>
        <v>29</v>
      </c>
      <c r="BW13" s="74" t="str">
        <f t="shared" si="11"/>
        <v/>
      </c>
      <c r="BX13" s="74" t="str">
        <f t="shared" si="11"/>
        <v/>
      </c>
      <c r="BY13" s="78" t="str">
        <f t="shared" si="11"/>
        <v/>
      </c>
      <c r="BZ13" s="78" t="str">
        <f t="shared" si="11"/>
        <v/>
      </c>
      <c r="CA13" s="74" t="str">
        <f t="shared" si="11"/>
        <v/>
      </c>
      <c r="CB13" s="74" t="str">
        <f t="shared" si="11"/>
        <v/>
      </c>
      <c r="CC13" s="74" t="str">
        <f t="shared" si="11"/>
        <v/>
      </c>
      <c r="CD13" s="74" t="str">
        <f t="shared" si="11"/>
        <v/>
      </c>
      <c r="CE13" s="74" t="str">
        <f t="shared" si="11"/>
        <v/>
      </c>
      <c r="CF13" s="78" t="str">
        <f t="shared" si="11"/>
        <v/>
      </c>
      <c r="CG13" s="78" t="str">
        <f t="shared" si="12"/>
        <v/>
      </c>
      <c r="CH13" s="74" t="str">
        <f t="shared" si="12"/>
        <v/>
      </c>
      <c r="CI13" s="74" t="str">
        <f t="shared" si="12"/>
        <v/>
      </c>
      <c r="CJ13" s="74" t="str">
        <f t="shared" si="12"/>
        <v/>
      </c>
      <c r="CK13" s="74" t="str">
        <f t="shared" si="12"/>
        <v/>
      </c>
      <c r="CL13" s="74" t="str">
        <f t="shared" si="12"/>
        <v/>
      </c>
      <c r="CM13" s="78" t="str">
        <f t="shared" si="12"/>
        <v/>
      </c>
      <c r="CN13" s="78" t="str">
        <f t="shared" si="12"/>
        <v/>
      </c>
      <c r="CO13" s="74" t="str">
        <f t="shared" si="12"/>
        <v/>
      </c>
      <c r="CP13" s="74" t="str">
        <f t="shared" si="12"/>
        <v/>
      </c>
      <c r="CQ13" s="74" t="str">
        <f t="shared" si="13"/>
        <v/>
      </c>
      <c r="CR13" s="74" t="str">
        <f t="shared" si="13"/>
        <v/>
      </c>
      <c r="CS13" s="74" t="str">
        <f t="shared" si="13"/>
        <v/>
      </c>
      <c r="CT13" s="78" t="str">
        <f t="shared" si="13"/>
        <v/>
      </c>
      <c r="CU13" s="78" t="str">
        <f t="shared" si="13"/>
        <v/>
      </c>
      <c r="CV13" s="74" t="str">
        <f t="shared" si="13"/>
        <v/>
      </c>
      <c r="CW13" s="74" t="str">
        <f t="shared" si="13"/>
        <v/>
      </c>
      <c r="CX13" s="74" t="str">
        <f t="shared" si="13"/>
        <v/>
      </c>
      <c r="CY13" s="74" t="str">
        <f t="shared" si="13"/>
        <v/>
      </c>
      <c r="CZ13" s="74" t="str">
        <f t="shared" si="13"/>
        <v/>
      </c>
      <c r="DA13" s="78" t="str">
        <f t="shared" si="14"/>
        <v/>
      </c>
      <c r="DB13" s="78" t="str">
        <f t="shared" si="14"/>
        <v/>
      </c>
      <c r="DC13" s="74" t="str">
        <f t="shared" si="14"/>
        <v/>
      </c>
      <c r="DD13" s="74" t="str">
        <f t="shared" si="14"/>
        <v/>
      </c>
      <c r="DE13" s="74" t="str">
        <f t="shared" si="14"/>
        <v/>
      </c>
      <c r="DF13" s="74" t="str">
        <f t="shared" si="14"/>
        <v/>
      </c>
      <c r="DG13" s="74" t="str">
        <f t="shared" si="14"/>
        <v/>
      </c>
      <c r="DH13" s="78" t="str">
        <f t="shared" si="14"/>
        <v/>
      </c>
      <c r="DI13" s="78" t="str">
        <f t="shared" si="14"/>
        <v/>
      </c>
      <c r="DJ13" s="74" t="str">
        <f t="shared" si="14"/>
        <v/>
      </c>
      <c r="DK13" s="74" t="str">
        <f t="shared" si="15"/>
        <v/>
      </c>
      <c r="DL13" s="74" t="str">
        <f t="shared" si="15"/>
        <v/>
      </c>
      <c r="DM13" s="74" t="str">
        <f t="shared" si="15"/>
        <v/>
      </c>
      <c r="DN13" s="74" t="str">
        <f t="shared" si="15"/>
        <v/>
      </c>
      <c r="DO13" s="78" t="str">
        <f t="shared" si="15"/>
        <v/>
      </c>
      <c r="DP13" s="78" t="str">
        <f t="shared" si="15"/>
        <v/>
      </c>
      <c r="DQ13" s="74" t="str">
        <f t="shared" si="15"/>
        <v/>
      </c>
      <c r="DR13" s="74" t="str">
        <f t="shared" si="15"/>
        <v/>
      </c>
      <c r="DS13" s="74" t="str">
        <f t="shared" si="15"/>
        <v/>
      </c>
      <c r="DT13" s="74" t="str">
        <f t="shared" si="15"/>
        <v/>
      </c>
      <c r="DU13" s="74" t="str">
        <f t="shared" si="16"/>
        <v/>
      </c>
      <c r="DV13" s="78" t="str">
        <f t="shared" si="16"/>
        <v/>
      </c>
      <c r="DW13" s="78" t="str">
        <f t="shared" si="16"/>
        <v/>
      </c>
      <c r="DX13" s="74" t="str">
        <f t="shared" si="16"/>
        <v/>
      </c>
      <c r="DY13" s="74" t="str">
        <f t="shared" si="16"/>
        <v/>
      </c>
      <c r="DZ13" s="74" t="str">
        <f t="shared" si="16"/>
        <v/>
      </c>
      <c r="EA13" s="74" t="str">
        <f t="shared" si="16"/>
        <v/>
      </c>
      <c r="EB13" s="74" t="str">
        <f t="shared" si="16"/>
        <v/>
      </c>
      <c r="EC13" s="78" t="str">
        <f t="shared" si="16"/>
        <v/>
      </c>
      <c r="ED13" s="78" t="str">
        <f t="shared" si="16"/>
        <v/>
      </c>
      <c r="EE13" s="74" t="str">
        <f t="shared" si="17"/>
        <v/>
      </c>
      <c r="EF13" s="74" t="str">
        <f t="shared" si="17"/>
        <v/>
      </c>
      <c r="EG13" s="74" t="str">
        <f t="shared" si="17"/>
        <v/>
      </c>
      <c r="EH13" s="74" t="str">
        <f t="shared" si="17"/>
        <v/>
      </c>
      <c r="EI13" s="74" t="str">
        <f t="shared" si="17"/>
        <v/>
      </c>
      <c r="EJ13" s="78" t="str">
        <f t="shared" si="17"/>
        <v/>
      </c>
      <c r="EK13" s="78" t="str">
        <f t="shared" si="17"/>
        <v/>
      </c>
      <c r="EL13" s="74" t="str">
        <f t="shared" si="17"/>
        <v/>
      </c>
      <c r="EM13" s="74" t="str">
        <f t="shared" si="17"/>
        <v/>
      </c>
      <c r="EN13" s="74" t="str">
        <f t="shared" si="17"/>
        <v/>
      </c>
      <c r="EO13" s="74" t="str">
        <f t="shared" si="18"/>
        <v/>
      </c>
      <c r="EP13" s="74" t="str">
        <f t="shared" si="18"/>
        <v/>
      </c>
      <c r="EQ13" s="78" t="str">
        <f t="shared" si="18"/>
        <v/>
      </c>
      <c r="ER13" s="78" t="str">
        <f t="shared" si="18"/>
        <v/>
      </c>
      <c r="ES13" s="74" t="str">
        <f t="shared" si="18"/>
        <v/>
      </c>
      <c r="ET13" s="74" t="str">
        <f t="shared" si="18"/>
        <v/>
      </c>
      <c r="EU13" s="74" t="str">
        <f t="shared" si="18"/>
        <v/>
      </c>
      <c r="EV13" s="74" t="str">
        <f t="shared" si="18"/>
        <v/>
      </c>
      <c r="EW13" s="74" t="str">
        <f t="shared" si="18"/>
        <v/>
      </c>
      <c r="EX13" s="78" t="str">
        <f t="shared" si="18"/>
        <v/>
      </c>
      <c r="EY13" s="78" t="str">
        <f t="shared" si="19"/>
        <v/>
      </c>
      <c r="EZ13" s="74" t="str">
        <f t="shared" si="19"/>
        <v/>
      </c>
      <c r="FA13" s="74" t="str">
        <f t="shared" si="19"/>
        <v/>
      </c>
      <c r="FB13" s="74" t="str">
        <f t="shared" si="19"/>
        <v/>
      </c>
      <c r="FC13" s="74" t="str">
        <f t="shared" si="19"/>
        <v/>
      </c>
      <c r="FD13" s="74" t="str">
        <f t="shared" si="19"/>
        <v/>
      </c>
      <c r="FE13" s="78" t="str">
        <f t="shared" si="19"/>
        <v/>
      </c>
      <c r="FF13" s="78" t="str">
        <f t="shared" si="19"/>
        <v/>
      </c>
      <c r="FG13" s="74" t="str">
        <f t="shared" si="19"/>
        <v/>
      </c>
      <c r="FH13" s="74" t="str">
        <f t="shared" si="19"/>
        <v/>
      </c>
      <c r="FI13" s="74" t="str">
        <f t="shared" si="20"/>
        <v/>
      </c>
      <c r="FJ13" s="74" t="str">
        <f t="shared" si="20"/>
        <v/>
      </c>
      <c r="FK13" s="74" t="str">
        <f t="shared" si="20"/>
        <v/>
      </c>
      <c r="FL13" s="78" t="str">
        <f t="shared" si="20"/>
        <v/>
      </c>
      <c r="FM13" s="78" t="str">
        <f t="shared" si="20"/>
        <v/>
      </c>
      <c r="FN13" s="74" t="str">
        <f t="shared" si="20"/>
        <v/>
      </c>
      <c r="FO13" s="74" t="str">
        <f t="shared" si="20"/>
        <v/>
      </c>
      <c r="FP13" s="74" t="str">
        <f t="shared" si="20"/>
        <v/>
      </c>
      <c r="FQ13" s="74" t="str">
        <f t="shared" si="20"/>
        <v/>
      </c>
      <c r="FR13" s="74" t="str">
        <f t="shared" si="20"/>
        <v/>
      </c>
      <c r="FS13" s="78" t="str">
        <f t="shared" si="21"/>
        <v/>
      </c>
      <c r="FT13" s="78" t="str">
        <f t="shared" si="21"/>
        <v/>
      </c>
      <c r="FU13" s="74" t="str">
        <f t="shared" si="21"/>
        <v/>
      </c>
      <c r="FV13" s="74" t="str">
        <f t="shared" si="21"/>
        <v/>
      </c>
      <c r="FW13" s="74" t="str">
        <f t="shared" si="21"/>
        <v/>
      </c>
      <c r="FX13" s="74" t="str">
        <f t="shared" si="21"/>
        <v/>
      </c>
      <c r="FY13" s="74" t="str">
        <f t="shared" si="21"/>
        <v/>
      </c>
      <c r="FZ13" s="78" t="str">
        <f t="shared" si="21"/>
        <v/>
      </c>
      <c r="GA13" s="78" t="str">
        <f t="shared" si="21"/>
        <v/>
      </c>
      <c r="GB13" s="74" t="str">
        <f t="shared" si="21"/>
        <v/>
      </c>
      <c r="GC13" s="74" t="str">
        <f t="shared" si="22"/>
        <v/>
      </c>
      <c r="GD13" s="74" t="str">
        <f t="shared" si="22"/>
        <v/>
      </c>
      <c r="GE13" s="74" t="str">
        <f t="shared" si="22"/>
        <v/>
      </c>
      <c r="GF13" s="74" t="str">
        <f t="shared" si="22"/>
        <v/>
      </c>
      <c r="GG13" s="78" t="str">
        <f t="shared" si="22"/>
        <v/>
      </c>
      <c r="GH13" s="78" t="str">
        <f t="shared" si="22"/>
        <v/>
      </c>
      <c r="GI13" s="74" t="str">
        <f t="shared" si="22"/>
        <v/>
      </c>
      <c r="GJ13" s="74" t="str">
        <f t="shared" si="22"/>
        <v/>
      </c>
      <c r="GK13" s="74" t="str">
        <f t="shared" si="22"/>
        <v/>
      </c>
      <c r="GL13" s="74" t="str">
        <f t="shared" si="22"/>
        <v/>
      </c>
      <c r="GM13" s="74" t="str">
        <f t="shared" si="23"/>
        <v/>
      </c>
      <c r="GN13" s="78" t="str">
        <f t="shared" si="23"/>
        <v/>
      </c>
      <c r="GO13" s="78" t="str">
        <f t="shared" si="23"/>
        <v/>
      </c>
      <c r="GP13" s="74" t="str">
        <f t="shared" si="23"/>
        <v/>
      </c>
      <c r="GQ13" s="74" t="str">
        <f t="shared" si="23"/>
        <v/>
      </c>
      <c r="GR13" s="74" t="str">
        <f t="shared" si="23"/>
        <v/>
      </c>
      <c r="GS13" s="74" t="str">
        <f t="shared" si="23"/>
        <v/>
      </c>
      <c r="GT13" s="74" t="str">
        <f t="shared" si="23"/>
        <v/>
      </c>
      <c r="GU13" s="78" t="str">
        <f t="shared" si="23"/>
        <v/>
      </c>
      <c r="GV13" s="78" t="str">
        <f t="shared" si="23"/>
        <v/>
      </c>
      <c r="GW13" s="74" t="str">
        <f t="shared" si="24"/>
        <v/>
      </c>
      <c r="GX13" s="74" t="str">
        <f t="shared" si="24"/>
        <v/>
      </c>
      <c r="GY13" s="74" t="str">
        <f t="shared" si="24"/>
        <v/>
      </c>
      <c r="GZ13" s="74" t="str">
        <f t="shared" si="24"/>
        <v/>
      </c>
      <c r="HA13" s="74" t="str">
        <f t="shared" si="24"/>
        <v/>
      </c>
      <c r="HB13" s="78" t="str">
        <f t="shared" si="24"/>
        <v/>
      </c>
      <c r="HC13" s="78" t="str">
        <f t="shared" si="24"/>
        <v/>
      </c>
      <c r="HD13" s="74" t="str">
        <f t="shared" si="24"/>
        <v/>
      </c>
      <c r="HE13" s="74" t="str">
        <f t="shared" si="24"/>
        <v/>
      </c>
      <c r="HF13" s="74" t="str">
        <f t="shared" si="24"/>
        <v/>
      </c>
      <c r="HG13" s="74" t="str">
        <f t="shared" si="24"/>
        <v/>
      </c>
      <c r="HH13" s="74" t="str">
        <f t="shared" si="24"/>
        <v/>
      </c>
    </row>
    <row r="14" spans="1:216" x14ac:dyDescent="0.2">
      <c r="A14" s="82" t="str">
        <f>'FY1 Event Pipeline'!A11</f>
        <v>MOTN AUH</v>
      </c>
      <c r="B14" s="83">
        <f>_xlfn.XLOOKUP(A14,'FY1 Event Pipeline'!$A$4:$A$15,'FY1 Event Pipeline'!$H$4:$H$15)</f>
        <v>46346</v>
      </c>
      <c r="C14" s="83">
        <f>_xlfn.XLOOKUP(A14,'FY1 Event Pipeline'!$A$4:$A$15,'FY1 Event Pipeline'!$J$4:$J$15)</f>
        <v>46398</v>
      </c>
      <c r="D14" s="84">
        <f>_xlfn.XLOOKUP(A14,'FY1 Event Pipeline'!$A$4:$A$15,'FY1 Event Pipeline'!$N$4:$N$15)</f>
        <v>20</v>
      </c>
      <c r="E14" s="74" t="str">
        <f t="shared" si="4"/>
        <v/>
      </c>
      <c r="F14" s="74" t="str">
        <f t="shared" si="4"/>
        <v/>
      </c>
      <c r="G14" s="78" t="str">
        <f t="shared" si="4"/>
        <v/>
      </c>
      <c r="H14" s="78" t="str">
        <f t="shared" si="4"/>
        <v/>
      </c>
      <c r="I14" s="74" t="str">
        <f t="shared" si="4"/>
        <v/>
      </c>
      <c r="J14" s="74" t="str">
        <f t="shared" si="4"/>
        <v/>
      </c>
      <c r="K14" s="74" t="str">
        <f t="shared" si="4"/>
        <v/>
      </c>
      <c r="L14" s="74" t="str">
        <f t="shared" si="4"/>
        <v/>
      </c>
      <c r="M14" s="74" t="str">
        <f t="shared" si="4"/>
        <v/>
      </c>
      <c r="N14" s="78" t="str">
        <f t="shared" si="4"/>
        <v/>
      </c>
      <c r="O14" s="78" t="str">
        <f t="shared" si="5"/>
        <v/>
      </c>
      <c r="P14" s="74" t="str">
        <f t="shared" si="5"/>
        <v/>
      </c>
      <c r="Q14" s="74" t="str">
        <f t="shared" si="5"/>
        <v/>
      </c>
      <c r="R14" s="74" t="str">
        <f t="shared" si="5"/>
        <v/>
      </c>
      <c r="S14" s="74" t="str">
        <f t="shared" si="5"/>
        <v/>
      </c>
      <c r="T14" s="74" t="str">
        <f t="shared" si="5"/>
        <v/>
      </c>
      <c r="U14" s="78" t="str">
        <f t="shared" si="5"/>
        <v/>
      </c>
      <c r="V14" s="78" t="str">
        <f t="shared" si="5"/>
        <v/>
      </c>
      <c r="W14" s="74" t="str">
        <f t="shared" si="5"/>
        <v/>
      </c>
      <c r="X14" s="74" t="str">
        <f t="shared" si="5"/>
        <v/>
      </c>
      <c r="Y14" s="74" t="str">
        <f t="shared" si="6"/>
        <v/>
      </c>
      <c r="Z14" s="74" t="str">
        <f t="shared" si="6"/>
        <v/>
      </c>
      <c r="AA14" s="74" t="str">
        <f t="shared" si="6"/>
        <v/>
      </c>
      <c r="AB14" s="78" t="str">
        <f t="shared" si="6"/>
        <v/>
      </c>
      <c r="AC14" s="78" t="str">
        <f t="shared" si="6"/>
        <v/>
      </c>
      <c r="AD14" s="74" t="str">
        <f t="shared" si="6"/>
        <v/>
      </c>
      <c r="AE14" s="74" t="str">
        <f t="shared" si="6"/>
        <v/>
      </c>
      <c r="AF14" s="74" t="str">
        <f t="shared" si="6"/>
        <v/>
      </c>
      <c r="AG14" s="74" t="str">
        <f t="shared" si="6"/>
        <v/>
      </c>
      <c r="AH14" s="74" t="str">
        <f t="shared" si="6"/>
        <v/>
      </c>
      <c r="AI14" s="78" t="str">
        <f t="shared" si="7"/>
        <v/>
      </c>
      <c r="AJ14" s="78" t="str">
        <f t="shared" si="7"/>
        <v/>
      </c>
      <c r="AK14" s="74" t="str">
        <f t="shared" si="7"/>
        <v/>
      </c>
      <c r="AL14" s="74" t="str">
        <f t="shared" si="7"/>
        <v/>
      </c>
      <c r="AM14" s="74" t="str">
        <f t="shared" si="7"/>
        <v/>
      </c>
      <c r="AN14" s="74" t="str">
        <f t="shared" si="7"/>
        <v/>
      </c>
      <c r="AO14" s="74" t="str">
        <f t="shared" si="7"/>
        <v/>
      </c>
      <c r="AP14" s="78" t="str">
        <f t="shared" si="7"/>
        <v/>
      </c>
      <c r="AQ14" s="78" t="str">
        <f t="shared" si="7"/>
        <v/>
      </c>
      <c r="AR14" s="74" t="str">
        <f t="shared" si="7"/>
        <v/>
      </c>
      <c r="AS14" s="74" t="str">
        <f t="shared" si="8"/>
        <v/>
      </c>
      <c r="AT14" s="74" t="str">
        <f t="shared" si="8"/>
        <v/>
      </c>
      <c r="AU14" s="74" t="str">
        <f t="shared" si="8"/>
        <v/>
      </c>
      <c r="AV14" s="74" t="str">
        <f t="shared" si="8"/>
        <v/>
      </c>
      <c r="AW14" s="78" t="str">
        <f t="shared" si="8"/>
        <v/>
      </c>
      <c r="AX14" s="78" t="str">
        <f t="shared" si="8"/>
        <v/>
      </c>
      <c r="AY14" s="74" t="str">
        <f t="shared" si="8"/>
        <v/>
      </c>
      <c r="AZ14" s="74" t="str">
        <f t="shared" si="8"/>
        <v/>
      </c>
      <c r="BA14" s="74" t="str">
        <f t="shared" si="8"/>
        <v/>
      </c>
      <c r="BB14" s="74" t="str">
        <f t="shared" si="8"/>
        <v/>
      </c>
      <c r="BC14" s="75">
        <f t="shared" si="9"/>
        <v>20</v>
      </c>
      <c r="BD14" s="75">
        <f t="shared" si="9"/>
        <v>20</v>
      </c>
      <c r="BE14" s="75">
        <f t="shared" si="9"/>
        <v>20</v>
      </c>
      <c r="BF14" s="75">
        <f t="shared" si="9"/>
        <v>20</v>
      </c>
      <c r="BG14" s="75">
        <f t="shared" si="9"/>
        <v>20</v>
      </c>
      <c r="BH14" s="75">
        <f t="shared" si="9"/>
        <v>20</v>
      </c>
      <c r="BI14" s="75">
        <f t="shared" si="9"/>
        <v>20</v>
      </c>
      <c r="BJ14" s="75">
        <f t="shared" si="9"/>
        <v>20</v>
      </c>
      <c r="BK14" s="75">
        <f t="shared" si="9"/>
        <v>20</v>
      </c>
      <c r="BL14" s="75">
        <f t="shared" si="9"/>
        <v>20</v>
      </c>
      <c r="BM14" s="75">
        <f t="shared" si="10"/>
        <v>20</v>
      </c>
      <c r="BN14" s="75">
        <f t="shared" si="10"/>
        <v>20</v>
      </c>
      <c r="BO14" s="75">
        <f t="shared" si="10"/>
        <v>20</v>
      </c>
      <c r="BP14" s="75">
        <f t="shared" si="10"/>
        <v>20</v>
      </c>
      <c r="BQ14" s="75">
        <f t="shared" si="10"/>
        <v>20</v>
      </c>
      <c r="BR14" s="75">
        <f t="shared" si="10"/>
        <v>20</v>
      </c>
      <c r="BS14" s="75">
        <f t="shared" si="10"/>
        <v>20</v>
      </c>
      <c r="BT14" s="75">
        <f t="shared" si="10"/>
        <v>20</v>
      </c>
      <c r="BU14" s="75">
        <f t="shared" si="10"/>
        <v>20</v>
      </c>
      <c r="BV14" s="75">
        <f t="shared" si="10"/>
        <v>20</v>
      </c>
      <c r="BW14" s="76">
        <f t="shared" si="11"/>
        <v>20</v>
      </c>
      <c r="BX14" s="76">
        <f t="shared" si="11"/>
        <v>20</v>
      </c>
      <c r="BY14" s="76">
        <f t="shared" si="11"/>
        <v>20</v>
      </c>
      <c r="BZ14" s="76">
        <f t="shared" si="11"/>
        <v>20</v>
      </c>
      <c r="CA14" s="76">
        <f t="shared" si="11"/>
        <v>20</v>
      </c>
      <c r="CB14" s="76">
        <f t="shared" si="11"/>
        <v>20</v>
      </c>
      <c r="CC14" s="76">
        <f t="shared" si="11"/>
        <v>20</v>
      </c>
      <c r="CD14" s="76">
        <f t="shared" si="11"/>
        <v>20</v>
      </c>
      <c r="CE14" s="76">
        <f t="shared" si="11"/>
        <v>20</v>
      </c>
      <c r="CF14" s="76">
        <f t="shared" si="11"/>
        <v>20</v>
      </c>
      <c r="CG14" s="76">
        <f t="shared" si="12"/>
        <v>20</v>
      </c>
      <c r="CH14" s="76">
        <f t="shared" si="12"/>
        <v>20</v>
      </c>
      <c r="CI14" s="76">
        <f t="shared" si="12"/>
        <v>20</v>
      </c>
      <c r="CJ14" s="76">
        <f t="shared" si="12"/>
        <v>20</v>
      </c>
      <c r="CK14" s="76">
        <f t="shared" si="12"/>
        <v>20</v>
      </c>
      <c r="CL14" s="76">
        <f t="shared" si="12"/>
        <v>20</v>
      </c>
      <c r="CM14" s="76">
        <f t="shared" si="12"/>
        <v>20</v>
      </c>
      <c r="CN14" s="76">
        <f t="shared" si="12"/>
        <v>20</v>
      </c>
      <c r="CO14" s="76">
        <f t="shared" si="12"/>
        <v>20</v>
      </c>
      <c r="CP14" s="76">
        <f t="shared" si="12"/>
        <v>20</v>
      </c>
      <c r="CQ14" s="76">
        <f t="shared" si="13"/>
        <v>20</v>
      </c>
      <c r="CR14" s="76">
        <f t="shared" si="13"/>
        <v>20</v>
      </c>
      <c r="CS14" s="76">
        <f t="shared" si="13"/>
        <v>20</v>
      </c>
      <c r="CT14" s="76">
        <f t="shared" si="13"/>
        <v>20</v>
      </c>
      <c r="CU14" s="76">
        <f t="shared" si="13"/>
        <v>20</v>
      </c>
      <c r="CV14" s="76">
        <f t="shared" si="13"/>
        <v>20</v>
      </c>
      <c r="CW14" s="77">
        <f t="shared" si="13"/>
        <v>20</v>
      </c>
      <c r="CX14" s="77">
        <f t="shared" si="13"/>
        <v>20</v>
      </c>
      <c r="CY14" s="77">
        <f t="shared" si="13"/>
        <v>20</v>
      </c>
      <c r="CZ14" s="77">
        <f t="shared" si="13"/>
        <v>20</v>
      </c>
      <c r="DA14" s="77">
        <f t="shared" si="14"/>
        <v>20</v>
      </c>
      <c r="DB14" s="77">
        <f t="shared" si="14"/>
        <v>20</v>
      </c>
      <c r="DC14" s="77">
        <f t="shared" si="14"/>
        <v>20</v>
      </c>
      <c r="DD14" s="74" t="str">
        <f t="shared" si="14"/>
        <v/>
      </c>
      <c r="DE14" s="74" t="str">
        <f t="shared" si="14"/>
        <v/>
      </c>
      <c r="DF14" s="74" t="str">
        <f t="shared" si="14"/>
        <v/>
      </c>
      <c r="DG14" s="74" t="str">
        <f t="shared" si="14"/>
        <v/>
      </c>
      <c r="DH14" s="78" t="str">
        <f t="shared" si="14"/>
        <v/>
      </c>
      <c r="DI14" s="78" t="str">
        <f t="shared" si="14"/>
        <v/>
      </c>
      <c r="DJ14" s="74" t="str">
        <f t="shared" si="14"/>
        <v/>
      </c>
      <c r="DK14" s="74" t="str">
        <f t="shared" si="15"/>
        <v/>
      </c>
      <c r="DL14" s="74" t="str">
        <f t="shared" si="15"/>
        <v/>
      </c>
      <c r="DM14" s="74" t="str">
        <f t="shared" si="15"/>
        <v/>
      </c>
      <c r="DN14" s="74" t="str">
        <f t="shared" si="15"/>
        <v/>
      </c>
      <c r="DO14" s="78" t="str">
        <f t="shared" si="15"/>
        <v/>
      </c>
      <c r="DP14" s="78" t="str">
        <f t="shared" si="15"/>
        <v/>
      </c>
      <c r="DQ14" s="74" t="str">
        <f t="shared" si="15"/>
        <v/>
      </c>
      <c r="DR14" s="74" t="str">
        <f t="shared" si="15"/>
        <v/>
      </c>
      <c r="DS14" s="74" t="str">
        <f t="shared" si="15"/>
        <v/>
      </c>
      <c r="DT14" s="74" t="str">
        <f t="shared" si="15"/>
        <v/>
      </c>
      <c r="DU14" s="74" t="str">
        <f t="shared" si="16"/>
        <v/>
      </c>
      <c r="DV14" s="78" t="str">
        <f t="shared" si="16"/>
        <v/>
      </c>
      <c r="DW14" s="78" t="str">
        <f t="shared" si="16"/>
        <v/>
      </c>
      <c r="DX14" s="74" t="str">
        <f t="shared" si="16"/>
        <v/>
      </c>
      <c r="DY14" s="74" t="str">
        <f t="shared" si="16"/>
        <v/>
      </c>
      <c r="DZ14" s="74" t="str">
        <f t="shared" si="16"/>
        <v/>
      </c>
      <c r="EA14" s="74" t="str">
        <f t="shared" si="16"/>
        <v/>
      </c>
      <c r="EB14" s="74" t="str">
        <f t="shared" si="16"/>
        <v/>
      </c>
      <c r="EC14" s="78" t="str">
        <f t="shared" si="16"/>
        <v/>
      </c>
      <c r="ED14" s="78" t="str">
        <f t="shared" si="16"/>
        <v/>
      </c>
      <c r="EE14" s="74" t="str">
        <f t="shared" si="17"/>
        <v/>
      </c>
      <c r="EF14" s="74" t="str">
        <f t="shared" si="17"/>
        <v/>
      </c>
      <c r="EG14" s="74" t="str">
        <f t="shared" si="17"/>
        <v/>
      </c>
      <c r="EH14" s="74" t="str">
        <f t="shared" si="17"/>
        <v/>
      </c>
      <c r="EI14" s="74" t="str">
        <f t="shared" si="17"/>
        <v/>
      </c>
      <c r="EJ14" s="78" t="str">
        <f t="shared" si="17"/>
        <v/>
      </c>
      <c r="EK14" s="78" t="str">
        <f t="shared" si="17"/>
        <v/>
      </c>
      <c r="EL14" s="74" t="str">
        <f t="shared" si="17"/>
        <v/>
      </c>
      <c r="EM14" s="74" t="str">
        <f t="shared" si="17"/>
        <v/>
      </c>
      <c r="EN14" s="74" t="str">
        <f t="shared" si="17"/>
        <v/>
      </c>
      <c r="EO14" s="74" t="str">
        <f t="shared" si="18"/>
        <v/>
      </c>
      <c r="EP14" s="74" t="str">
        <f t="shared" si="18"/>
        <v/>
      </c>
      <c r="EQ14" s="78" t="str">
        <f t="shared" si="18"/>
        <v/>
      </c>
      <c r="ER14" s="78" t="str">
        <f t="shared" si="18"/>
        <v/>
      </c>
      <c r="ES14" s="74" t="str">
        <f t="shared" si="18"/>
        <v/>
      </c>
      <c r="ET14" s="74" t="str">
        <f t="shared" si="18"/>
        <v/>
      </c>
      <c r="EU14" s="74" t="str">
        <f t="shared" si="18"/>
        <v/>
      </c>
      <c r="EV14" s="74" t="str">
        <f t="shared" si="18"/>
        <v/>
      </c>
      <c r="EW14" s="74" t="str">
        <f t="shared" si="18"/>
        <v/>
      </c>
      <c r="EX14" s="78" t="str">
        <f t="shared" si="18"/>
        <v/>
      </c>
      <c r="EY14" s="78" t="str">
        <f t="shared" si="19"/>
        <v/>
      </c>
      <c r="EZ14" s="74" t="str">
        <f t="shared" si="19"/>
        <v/>
      </c>
      <c r="FA14" s="74" t="str">
        <f t="shared" si="19"/>
        <v/>
      </c>
      <c r="FB14" s="74" t="str">
        <f t="shared" si="19"/>
        <v/>
      </c>
      <c r="FC14" s="74" t="str">
        <f t="shared" si="19"/>
        <v/>
      </c>
      <c r="FD14" s="74" t="str">
        <f t="shared" si="19"/>
        <v/>
      </c>
      <c r="FE14" s="78" t="str">
        <f t="shared" si="19"/>
        <v/>
      </c>
      <c r="FF14" s="78" t="str">
        <f t="shared" si="19"/>
        <v/>
      </c>
      <c r="FG14" s="74" t="str">
        <f t="shared" si="19"/>
        <v/>
      </c>
      <c r="FH14" s="74" t="str">
        <f t="shared" si="19"/>
        <v/>
      </c>
      <c r="FI14" s="74" t="str">
        <f t="shared" si="20"/>
        <v/>
      </c>
      <c r="FJ14" s="74" t="str">
        <f t="shared" si="20"/>
        <v/>
      </c>
      <c r="FK14" s="74" t="str">
        <f t="shared" si="20"/>
        <v/>
      </c>
      <c r="FL14" s="78" t="str">
        <f t="shared" si="20"/>
        <v/>
      </c>
      <c r="FM14" s="78" t="str">
        <f t="shared" si="20"/>
        <v/>
      </c>
      <c r="FN14" s="74" t="str">
        <f t="shared" si="20"/>
        <v/>
      </c>
      <c r="FO14" s="74" t="str">
        <f t="shared" si="20"/>
        <v/>
      </c>
      <c r="FP14" s="74" t="str">
        <f t="shared" si="20"/>
        <v/>
      </c>
      <c r="FQ14" s="74" t="str">
        <f t="shared" si="20"/>
        <v/>
      </c>
      <c r="FR14" s="74" t="str">
        <f t="shared" si="20"/>
        <v/>
      </c>
      <c r="FS14" s="78" t="str">
        <f t="shared" si="21"/>
        <v/>
      </c>
      <c r="FT14" s="78" t="str">
        <f t="shared" si="21"/>
        <v/>
      </c>
      <c r="FU14" s="74" t="str">
        <f t="shared" si="21"/>
        <v/>
      </c>
      <c r="FV14" s="74" t="str">
        <f t="shared" si="21"/>
        <v/>
      </c>
      <c r="FW14" s="74" t="str">
        <f t="shared" si="21"/>
        <v/>
      </c>
      <c r="FX14" s="74" t="str">
        <f t="shared" si="21"/>
        <v/>
      </c>
      <c r="FY14" s="74" t="str">
        <f t="shared" si="21"/>
        <v/>
      </c>
      <c r="FZ14" s="78" t="str">
        <f t="shared" si="21"/>
        <v/>
      </c>
      <c r="GA14" s="78" t="str">
        <f t="shared" si="21"/>
        <v/>
      </c>
      <c r="GB14" s="74" t="str">
        <f t="shared" si="21"/>
        <v/>
      </c>
      <c r="GC14" s="74" t="str">
        <f t="shared" si="22"/>
        <v/>
      </c>
      <c r="GD14" s="74" t="str">
        <f t="shared" si="22"/>
        <v/>
      </c>
      <c r="GE14" s="74" t="str">
        <f t="shared" si="22"/>
        <v/>
      </c>
      <c r="GF14" s="74" t="str">
        <f t="shared" si="22"/>
        <v/>
      </c>
      <c r="GG14" s="78" t="str">
        <f t="shared" si="22"/>
        <v/>
      </c>
      <c r="GH14" s="78" t="str">
        <f t="shared" si="22"/>
        <v/>
      </c>
      <c r="GI14" s="74" t="str">
        <f t="shared" si="22"/>
        <v/>
      </c>
      <c r="GJ14" s="74" t="str">
        <f t="shared" si="22"/>
        <v/>
      </c>
      <c r="GK14" s="74" t="str">
        <f t="shared" si="22"/>
        <v/>
      </c>
      <c r="GL14" s="74" t="str">
        <f t="shared" si="22"/>
        <v/>
      </c>
      <c r="GM14" s="74" t="str">
        <f t="shared" si="23"/>
        <v/>
      </c>
      <c r="GN14" s="78" t="str">
        <f t="shared" si="23"/>
        <v/>
      </c>
      <c r="GO14" s="78" t="str">
        <f t="shared" si="23"/>
        <v/>
      </c>
      <c r="GP14" s="74" t="str">
        <f t="shared" si="23"/>
        <v/>
      </c>
      <c r="GQ14" s="74" t="str">
        <f t="shared" si="23"/>
        <v/>
      </c>
      <c r="GR14" s="74" t="str">
        <f t="shared" si="23"/>
        <v/>
      </c>
      <c r="GS14" s="74" t="str">
        <f t="shared" si="23"/>
        <v/>
      </c>
      <c r="GT14" s="74" t="str">
        <f t="shared" si="23"/>
        <v/>
      </c>
      <c r="GU14" s="78" t="str">
        <f t="shared" si="23"/>
        <v/>
      </c>
      <c r="GV14" s="78" t="str">
        <f t="shared" si="23"/>
        <v/>
      </c>
      <c r="GW14" s="74" t="str">
        <f t="shared" si="24"/>
        <v/>
      </c>
      <c r="GX14" s="74" t="str">
        <f t="shared" si="24"/>
        <v/>
      </c>
      <c r="GY14" s="74" t="str">
        <f t="shared" si="24"/>
        <v/>
      </c>
      <c r="GZ14" s="74" t="str">
        <f t="shared" si="24"/>
        <v/>
      </c>
      <c r="HA14" s="74" t="str">
        <f t="shared" si="24"/>
        <v/>
      </c>
      <c r="HB14" s="78" t="str">
        <f t="shared" si="24"/>
        <v/>
      </c>
      <c r="HC14" s="78" t="str">
        <f t="shared" si="24"/>
        <v/>
      </c>
      <c r="HD14" s="74" t="str">
        <f t="shared" si="24"/>
        <v/>
      </c>
      <c r="HE14" s="74" t="str">
        <f t="shared" si="24"/>
        <v/>
      </c>
      <c r="HF14" s="74" t="str">
        <f t="shared" si="24"/>
        <v/>
      </c>
      <c r="HG14" s="74" t="str">
        <f t="shared" si="24"/>
        <v/>
      </c>
      <c r="HH14" s="74" t="str">
        <f t="shared" si="24"/>
        <v/>
      </c>
    </row>
    <row r="15" spans="1:216" x14ac:dyDescent="0.2">
      <c r="A15" s="82" t="str">
        <f>'FY1 Event Pipeline'!A12</f>
        <v>Yas Winterfest</v>
      </c>
      <c r="B15" s="83">
        <f>_xlfn.XLOOKUP(A15,'FY1 Event Pipeline'!$A$4:$A$15,'FY1 Event Pipeline'!$H$4:$H$15)</f>
        <v>46352</v>
      </c>
      <c r="C15" s="83">
        <f>_xlfn.XLOOKUP(A15,'FY1 Event Pipeline'!$A$4:$A$15,'FY1 Event Pipeline'!$J$4:$J$15)</f>
        <v>46384</v>
      </c>
      <c r="D15" s="84">
        <f>_xlfn.XLOOKUP(A15,'FY1 Event Pipeline'!$A$4:$A$15,'FY1 Event Pipeline'!$N$4:$N$15)</f>
        <v>6</v>
      </c>
      <c r="E15" s="74" t="str">
        <f t="shared" si="4"/>
        <v/>
      </c>
      <c r="F15" s="74" t="str">
        <f t="shared" si="4"/>
        <v/>
      </c>
      <c r="G15" s="78" t="str">
        <f t="shared" si="4"/>
        <v/>
      </c>
      <c r="H15" s="78" t="str">
        <f t="shared" si="4"/>
        <v/>
      </c>
      <c r="I15" s="74" t="str">
        <f t="shared" si="4"/>
        <v/>
      </c>
      <c r="J15" s="74" t="str">
        <f t="shared" si="4"/>
        <v/>
      </c>
      <c r="K15" s="74" t="str">
        <f t="shared" si="4"/>
        <v/>
      </c>
      <c r="L15" s="74" t="str">
        <f t="shared" si="4"/>
        <v/>
      </c>
      <c r="M15" s="74" t="str">
        <f t="shared" si="4"/>
        <v/>
      </c>
      <c r="N15" s="78" t="str">
        <f t="shared" si="4"/>
        <v/>
      </c>
      <c r="O15" s="78" t="str">
        <f t="shared" si="5"/>
        <v/>
      </c>
      <c r="P15" s="74" t="str">
        <f t="shared" si="5"/>
        <v/>
      </c>
      <c r="Q15" s="74" t="str">
        <f t="shared" si="5"/>
        <v/>
      </c>
      <c r="R15" s="74" t="str">
        <f t="shared" si="5"/>
        <v/>
      </c>
      <c r="S15" s="74" t="str">
        <f t="shared" si="5"/>
        <v/>
      </c>
      <c r="T15" s="74" t="str">
        <f t="shared" si="5"/>
        <v/>
      </c>
      <c r="U15" s="78" t="str">
        <f t="shared" si="5"/>
        <v/>
      </c>
      <c r="V15" s="78" t="str">
        <f t="shared" si="5"/>
        <v/>
      </c>
      <c r="W15" s="74" t="str">
        <f t="shared" si="5"/>
        <v/>
      </c>
      <c r="X15" s="74" t="str">
        <f t="shared" si="5"/>
        <v/>
      </c>
      <c r="Y15" s="74" t="str">
        <f t="shared" si="6"/>
        <v/>
      </c>
      <c r="Z15" s="74" t="str">
        <f t="shared" si="6"/>
        <v/>
      </c>
      <c r="AA15" s="74" t="str">
        <f t="shared" si="6"/>
        <v/>
      </c>
      <c r="AB15" s="78" t="str">
        <f t="shared" si="6"/>
        <v/>
      </c>
      <c r="AC15" s="78" t="str">
        <f t="shared" si="6"/>
        <v/>
      </c>
      <c r="AD15" s="74" t="str">
        <f t="shared" si="6"/>
        <v/>
      </c>
      <c r="AE15" s="74" t="str">
        <f t="shared" si="6"/>
        <v/>
      </c>
      <c r="AF15" s="74" t="str">
        <f t="shared" si="6"/>
        <v/>
      </c>
      <c r="AG15" s="74" t="str">
        <f t="shared" si="6"/>
        <v/>
      </c>
      <c r="AH15" s="74" t="str">
        <f t="shared" si="6"/>
        <v/>
      </c>
      <c r="AI15" s="78" t="str">
        <f t="shared" si="7"/>
        <v/>
      </c>
      <c r="AJ15" s="78" t="str">
        <f t="shared" si="7"/>
        <v/>
      </c>
      <c r="AK15" s="74" t="str">
        <f t="shared" si="7"/>
        <v/>
      </c>
      <c r="AL15" s="74" t="str">
        <f t="shared" si="7"/>
        <v/>
      </c>
      <c r="AM15" s="74" t="str">
        <f t="shared" si="7"/>
        <v/>
      </c>
      <c r="AN15" s="74" t="str">
        <f t="shared" si="7"/>
        <v/>
      </c>
      <c r="AO15" s="74" t="str">
        <f t="shared" si="7"/>
        <v/>
      </c>
      <c r="AP15" s="78" t="str">
        <f t="shared" si="7"/>
        <v/>
      </c>
      <c r="AQ15" s="78" t="str">
        <f t="shared" si="7"/>
        <v/>
      </c>
      <c r="AR15" s="74" t="str">
        <f t="shared" si="7"/>
        <v/>
      </c>
      <c r="AS15" s="74" t="str">
        <f t="shared" si="8"/>
        <v/>
      </c>
      <c r="AT15" s="74" t="str">
        <f t="shared" si="8"/>
        <v/>
      </c>
      <c r="AU15" s="74" t="str">
        <f t="shared" si="8"/>
        <v/>
      </c>
      <c r="AV15" s="74" t="str">
        <f t="shared" si="8"/>
        <v/>
      </c>
      <c r="AW15" s="78" t="str">
        <f t="shared" si="8"/>
        <v/>
      </c>
      <c r="AX15" s="78" t="str">
        <f t="shared" si="8"/>
        <v/>
      </c>
      <c r="AY15" s="74" t="str">
        <f t="shared" si="8"/>
        <v/>
      </c>
      <c r="AZ15" s="74" t="str">
        <f t="shared" si="8"/>
        <v/>
      </c>
      <c r="BA15" s="74" t="str">
        <f t="shared" si="8"/>
        <v/>
      </c>
      <c r="BB15" s="74" t="str">
        <f t="shared" si="8"/>
        <v/>
      </c>
      <c r="BC15" s="74" t="str">
        <f t="shared" si="9"/>
        <v/>
      </c>
      <c r="BD15" s="78" t="str">
        <f t="shared" si="9"/>
        <v/>
      </c>
      <c r="BE15" s="78" t="str">
        <f t="shared" si="9"/>
        <v/>
      </c>
      <c r="BF15" s="74" t="str">
        <f t="shared" si="9"/>
        <v/>
      </c>
      <c r="BG15" s="74" t="str">
        <f t="shared" si="9"/>
        <v/>
      </c>
      <c r="BH15" s="74" t="str">
        <f t="shared" si="9"/>
        <v/>
      </c>
      <c r="BI15" s="75">
        <f t="shared" si="9"/>
        <v>6</v>
      </c>
      <c r="BJ15" s="75">
        <f t="shared" si="9"/>
        <v>6</v>
      </c>
      <c r="BK15" s="75">
        <f t="shared" si="9"/>
        <v>6</v>
      </c>
      <c r="BL15" s="75">
        <f t="shared" si="9"/>
        <v>6</v>
      </c>
      <c r="BM15" s="75">
        <f t="shared" si="10"/>
        <v>6</v>
      </c>
      <c r="BN15" s="75">
        <f t="shared" si="10"/>
        <v>6</v>
      </c>
      <c r="BO15" s="75">
        <f t="shared" si="10"/>
        <v>6</v>
      </c>
      <c r="BP15" s="75">
        <f t="shared" si="10"/>
        <v>6</v>
      </c>
      <c r="BQ15" s="75">
        <f t="shared" si="10"/>
        <v>6</v>
      </c>
      <c r="BR15" s="75">
        <f t="shared" si="10"/>
        <v>6</v>
      </c>
      <c r="BS15" s="75">
        <f t="shared" si="10"/>
        <v>6</v>
      </c>
      <c r="BT15" s="75">
        <f t="shared" si="10"/>
        <v>6</v>
      </c>
      <c r="BU15" s="75">
        <f t="shared" si="10"/>
        <v>6</v>
      </c>
      <c r="BV15" s="75">
        <f t="shared" si="10"/>
        <v>6</v>
      </c>
      <c r="BW15" s="75">
        <f t="shared" si="11"/>
        <v>6</v>
      </c>
      <c r="BX15" s="76">
        <f t="shared" si="11"/>
        <v>6</v>
      </c>
      <c r="BY15" s="76">
        <f t="shared" si="11"/>
        <v>6</v>
      </c>
      <c r="BZ15" s="76">
        <f t="shared" si="11"/>
        <v>6</v>
      </c>
      <c r="CA15" s="76">
        <f t="shared" si="11"/>
        <v>6</v>
      </c>
      <c r="CB15" s="76">
        <f t="shared" si="11"/>
        <v>6</v>
      </c>
      <c r="CC15" s="76">
        <f t="shared" si="11"/>
        <v>6</v>
      </c>
      <c r="CD15" s="76">
        <f t="shared" si="11"/>
        <v>6</v>
      </c>
      <c r="CE15" s="76">
        <f t="shared" si="11"/>
        <v>6</v>
      </c>
      <c r="CF15" s="76">
        <f t="shared" si="11"/>
        <v>6</v>
      </c>
      <c r="CG15" s="76">
        <f t="shared" si="12"/>
        <v>6</v>
      </c>
      <c r="CH15" s="76">
        <f t="shared" si="12"/>
        <v>6</v>
      </c>
      <c r="CI15" s="77">
        <f t="shared" si="12"/>
        <v>6</v>
      </c>
      <c r="CJ15" s="77">
        <f t="shared" si="12"/>
        <v>6</v>
      </c>
      <c r="CK15" s="77">
        <f t="shared" si="12"/>
        <v>6</v>
      </c>
      <c r="CL15" s="77">
        <f t="shared" si="12"/>
        <v>6</v>
      </c>
      <c r="CM15" s="77">
        <f t="shared" si="12"/>
        <v>6</v>
      </c>
      <c r="CN15" s="77">
        <f t="shared" si="12"/>
        <v>6</v>
      </c>
      <c r="CO15" s="77">
        <f t="shared" si="12"/>
        <v>6</v>
      </c>
      <c r="CP15" s="74" t="str">
        <f t="shared" si="12"/>
        <v/>
      </c>
      <c r="CQ15" s="74" t="str">
        <f t="shared" si="13"/>
        <v/>
      </c>
      <c r="CR15" s="74" t="str">
        <f t="shared" si="13"/>
        <v/>
      </c>
      <c r="CS15" s="74" t="str">
        <f t="shared" si="13"/>
        <v/>
      </c>
      <c r="CT15" s="78" t="str">
        <f t="shared" si="13"/>
        <v/>
      </c>
      <c r="CU15" s="78" t="str">
        <f t="shared" si="13"/>
        <v/>
      </c>
      <c r="CV15" s="74" t="str">
        <f t="shared" si="13"/>
        <v/>
      </c>
      <c r="CW15" s="74" t="str">
        <f t="shared" si="13"/>
        <v/>
      </c>
      <c r="CX15" s="74" t="str">
        <f t="shared" si="13"/>
        <v/>
      </c>
      <c r="CY15" s="74" t="str">
        <f t="shared" si="13"/>
        <v/>
      </c>
      <c r="CZ15" s="74" t="str">
        <f t="shared" si="13"/>
        <v/>
      </c>
      <c r="DA15" s="78" t="str">
        <f t="shared" si="14"/>
        <v/>
      </c>
      <c r="DB15" s="78" t="str">
        <f t="shared" si="14"/>
        <v/>
      </c>
      <c r="DC15" s="74" t="str">
        <f t="shared" si="14"/>
        <v/>
      </c>
      <c r="DD15" s="74" t="str">
        <f t="shared" si="14"/>
        <v/>
      </c>
      <c r="DE15" s="74" t="str">
        <f t="shared" si="14"/>
        <v/>
      </c>
      <c r="DF15" s="74" t="str">
        <f t="shared" si="14"/>
        <v/>
      </c>
      <c r="DG15" s="74" t="str">
        <f t="shared" si="14"/>
        <v/>
      </c>
      <c r="DH15" s="78" t="str">
        <f t="shared" si="14"/>
        <v/>
      </c>
      <c r="DI15" s="78" t="str">
        <f t="shared" si="14"/>
        <v/>
      </c>
      <c r="DJ15" s="74" t="str">
        <f t="shared" si="14"/>
        <v/>
      </c>
      <c r="DK15" s="74" t="str">
        <f t="shared" si="15"/>
        <v/>
      </c>
      <c r="DL15" s="74" t="str">
        <f t="shared" si="15"/>
        <v/>
      </c>
      <c r="DM15" s="74" t="str">
        <f t="shared" si="15"/>
        <v/>
      </c>
      <c r="DN15" s="74" t="str">
        <f t="shared" si="15"/>
        <v/>
      </c>
      <c r="DO15" s="78" t="str">
        <f t="shared" si="15"/>
        <v/>
      </c>
      <c r="DP15" s="78" t="str">
        <f t="shared" si="15"/>
        <v/>
      </c>
      <c r="DQ15" s="74" t="str">
        <f t="shared" si="15"/>
        <v/>
      </c>
      <c r="DR15" s="74" t="str">
        <f t="shared" si="15"/>
        <v/>
      </c>
      <c r="DS15" s="74" t="str">
        <f t="shared" si="15"/>
        <v/>
      </c>
      <c r="DT15" s="74" t="str">
        <f t="shared" si="15"/>
        <v/>
      </c>
      <c r="DU15" s="74" t="str">
        <f t="shared" si="16"/>
        <v/>
      </c>
      <c r="DV15" s="78" t="str">
        <f t="shared" si="16"/>
        <v/>
      </c>
      <c r="DW15" s="78" t="str">
        <f t="shared" si="16"/>
        <v/>
      </c>
      <c r="DX15" s="74" t="str">
        <f t="shared" si="16"/>
        <v/>
      </c>
      <c r="DY15" s="74" t="str">
        <f t="shared" si="16"/>
        <v/>
      </c>
      <c r="DZ15" s="74" t="str">
        <f t="shared" si="16"/>
        <v/>
      </c>
      <c r="EA15" s="74" t="str">
        <f t="shared" si="16"/>
        <v/>
      </c>
      <c r="EB15" s="74" t="str">
        <f t="shared" si="16"/>
        <v/>
      </c>
      <c r="EC15" s="78" t="str">
        <f t="shared" si="16"/>
        <v/>
      </c>
      <c r="ED15" s="78" t="str">
        <f t="shared" si="16"/>
        <v/>
      </c>
      <c r="EE15" s="74" t="str">
        <f t="shared" si="17"/>
        <v/>
      </c>
      <c r="EF15" s="74" t="str">
        <f t="shared" si="17"/>
        <v/>
      </c>
      <c r="EG15" s="74" t="str">
        <f t="shared" si="17"/>
        <v/>
      </c>
      <c r="EH15" s="74" t="str">
        <f t="shared" si="17"/>
        <v/>
      </c>
      <c r="EI15" s="74" t="str">
        <f t="shared" si="17"/>
        <v/>
      </c>
      <c r="EJ15" s="78" t="str">
        <f t="shared" si="17"/>
        <v/>
      </c>
      <c r="EK15" s="78" t="str">
        <f t="shared" si="17"/>
        <v/>
      </c>
      <c r="EL15" s="74" t="str">
        <f t="shared" si="17"/>
        <v/>
      </c>
      <c r="EM15" s="74" t="str">
        <f t="shared" si="17"/>
        <v/>
      </c>
      <c r="EN15" s="74" t="str">
        <f t="shared" si="17"/>
        <v/>
      </c>
      <c r="EO15" s="74" t="str">
        <f t="shared" si="18"/>
        <v/>
      </c>
      <c r="EP15" s="74" t="str">
        <f t="shared" si="18"/>
        <v/>
      </c>
      <c r="EQ15" s="78" t="str">
        <f t="shared" si="18"/>
        <v/>
      </c>
      <c r="ER15" s="78" t="str">
        <f t="shared" si="18"/>
        <v/>
      </c>
      <c r="ES15" s="74" t="str">
        <f t="shared" si="18"/>
        <v/>
      </c>
      <c r="ET15" s="74" t="str">
        <f t="shared" si="18"/>
        <v/>
      </c>
      <c r="EU15" s="74" t="str">
        <f t="shared" si="18"/>
        <v/>
      </c>
      <c r="EV15" s="74" t="str">
        <f t="shared" si="18"/>
        <v/>
      </c>
      <c r="EW15" s="74" t="str">
        <f t="shared" si="18"/>
        <v/>
      </c>
      <c r="EX15" s="78" t="str">
        <f t="shared" si="18"/>
        <v/>
      </c>
      <c r="EY15" s="78" t="str">
        <f t="shared" si="19"/>
        <v/>
      </c>
      <c r="EZ15" s="74" t="str">
        <f t="shared" si="19"/>
        <v/>
      </c>
      <c r="FA15" s="74" t="str">
        <f t="shared" si="19"/>
        <v/>
      </c>
      <c r="FB15" s="74" t="str">
        <f t="shared" si="19"/>
        <v/>
      </c>
      <c r="FC15" s="74" t="str">
        <f t="shared" si="19"/>
        <v/>
      </c>
      <c r="FD15" s="74" t="str">
        <f t="shared" si="19"/>
        <v/>
      </c>
      <c r="FE15" s="78" t="str">
        <f t="shared" si="19"/>
        <v/>
      </c>
      <c r="FF15" s="78" t="str">
        <f t="shared" si="19"/>
        <v/>
      </c>
      <c r="FG15" s="74" t="str">
        <f t="shared" si="19"/>
        <v/>
      </c>
      <c r="FH15" s="74" t="str">
        <f t="shared" si="19"/>
        <v/>
      </c>
      <c r="FI15" s="74" t="str">
        <f t="shared" si="20"/>
        <v/>
      </c>
      <c r="FJ15" s="74" t="str">
        <f t="shared" si="20"/>
        <v/>
      </c>
      <c r="FK15" s="74" t="str">
        <f t="shared" si="20"/>
        <v/>
      </c>
      <c r="FL15" s="78" t="str">
        <f t="shared" si="20"/>
        <v/>
      </c>
      <c r="FM15" s="78" t="str">
        <f t="shared" si="20"/>
        <v/>
      </c>
      <c r="FN15" s="74" t="str">
        <f t="shared" si="20"/>
        <v/>
      </c>
      <c r="FO15" s="74" t="str">
        <f t="shared" si="20"/>
        <v/>
      </c>
      <c r="FP15" s="74" t="str">
        <f t="shared" si="20"/>
        <v/>
      </c>
      <c r="FQ15" s="74" t="str">
        <f t="shared" si="20"/>
        <v/>
      </c>
      <c r="FR15" s="74" t="str">
        <f t="shared" si="20"/>
        <v/>
      </c>
      <c r="FS15" s="78" t="str">
        <f t="shared" si="21"/>
        <v/>
      </c>
      <c r="FT15" s="78" t="str">
        <f t="shared" si="21"/>
        <v/>
      </c>
      <c r="FU15" s="74" t="str">
        <f t="shared" si="21"/>
        <v/>
      </c>
      <c r="FV15" s="74" t="str">
        <f t="shared" si="21"/>
        <v/>
      </c>
      <c r="FW15" s="74" t="str">
        <f t="shared" si="21"/>
        <v/>
      </c>
      <c r="FX15" s="74" t="str">
        <f t="shared" si="21"/>
        <v/>
      </c>
      <c r="FY15" s="74" t="str">
        <f t="shared" si="21"/>
        <v/>
      </c>
      <c r="FZ15" s="78" t="str">
        <f t="shared" si="21"/>
        <v/>
      </c>
      <c r="GA15" s="78" t="str">
        <f t="shared" si="21"/>
        <v/>
      </c>
      <c r="GB15" s="74" t="str">
        <f t="shared" si="21"/>
        <v/>
      </c>
      <c r="GC15" s="74" t="str">
        <f t="shared" si="22"/>
        <v/>
      </c>
      <c r="GD15" s="74" t="str">
        <f t="shared" si="22"/>
        <v/>
      </c>
      <c r="GE15" s="74" t="str">
        <f t="shared" si="22"/>
        <v/>
      </c>
      <c r="GF15" s="74" t="str">
        <f t="shared" si="22"/>
        <v/>
      </c>
      <c r="GG15" s="78" t="str">
        <f t="shared" si="22"/>
        <v/>
      </c>
      <c r="GH15" s="78" t="str">
        <f t="shared" si="22"/>
        <v/>
      </c>
      <c r="GI15" s="74" t="str">
        <f t="shared" si="22"/>
        <v/>
      </c>
      <c r="GJ15" s="74" t="str">
        <f t="shared" si="22"/>
        <v/>
      </c>
      <c r="GK15" s="74" t="str">
        <f t="shared" si="22"/>
        <v/>
      </c>
      <c r="GL15" s="74" t="str">
        <f t="shared" si="22"/>
        <v/>
      </c>
      <c r="GM15" s="74" t="str">
        <f t="shared" si="23"/>
        <v/>
      </c>
      <c r="GN15" s="78" t="str">
        <f t="shared" si="23"/>
        <v/>
      </c>
      <c r="GO15" s="78" t="str">
        <f t="shared" si="23"/>
        <v/>
      </c>
      <c r="GP15" s="74" t="str">
        <f t="shared" si="23"/>
        <v/>
      </c>
      <c r="GQ15" s="74" t="str">
        <f t="shared" si="23"/>
        <v/>
      </c>
      <c r="GR15" s="74" t="str">
        <f t="shared" si="23"/>
        <v/>
      </c>
      <c r="GS15" s="74" t="str">
        <f t="shared" si="23"/>
        <v/>
      </c>
      <c r="GT15" s="74" t="str">
        <f t="shared" si="23"/>
        <v/>
      </c>
      <c r="GU15" s="78" t="str">
        <f t="shared" si="23"/>
        <v/>
      </c>
      <c r="GV15" s="78" t="str">
        <f t="shared" si="23"/>
        <v/>
      </c>
      <c r="GW15" s="74" t="str">
        <f t="shared" si="24"/>
        <v/>
      </c>
      <c r="GX15" s="74" t="str">
        <f t="shared" si="24"/>
        <v/>
      </c>
      <c r="GY15" s="74" t="str">
        <f t="shared" si="24"/>
        <v/>
      </c>
      <c r="GZ15" s="74" t="str">
        <f t="shared" si="24"/>
        <v/>
      </c>
      <c r="HA15" s="74" t="str">
        <f t="shared" si="24"/>
        <v/>
      </c>
      <c r="HB15" s="78" t="str">
        <f t="shared" si="24"/>
        <v/>
      </c>
      <c r="HC15" s="78" t="str">
        <f t="shared" si="24"/>
        <v/>
      </c>
      <c r="HD15" s="74" t="str">
        <f t="shared" si="24"/>
        <v/>
      </c>
      <c r="HE15" s="74" t="str">
        <f t="shared" si="24"/>
        <v/>
      </c>
      <c r="HF15" s="74" t="str">
        <f t="shared" si="24"/>
        <v/>
      </c>
      <c r="HG15" s="74" t="str">
        <f t="shared" si="24"/>
        <v/>
      </c>
      <c r="HH15" s="74" t="str">
        <f t="shared" si="24"/>
        <v/>
      </c>
    </row>
    <row r="16" spans="1:216" x14ac:dyDescent="0.2">
      <c r="A16" s="82" t="str">
        <f>'FY1 Event Pipeline'!A13</f>
        <v>Animenia</v>
      </c>
      <c r="B16" s="83">
        <f>_xlfn.XLOOKUP(A16,'FY1 Event Pipeline'!$A$4:$A$15,'FY1 Event Pipeline'!$H$4:$H$15)</f>
        <v>46414</v>
      </c>
      <c r="C16" s="83">
        <f>_xlfn.XLOOKUP(A16,'FY1 Event Pipeline'!$A$4:$A$15,'FY1 Event Pipeline'!$J$4:$J$15)</f>
        <v>46436</v>
      </c>
      <c r="D16" s="84">
        <f>_xlfn.XLOOKUP(A16,'FY1 Event Pipeline'!$A$4:$A$15,'FY1 Event Pipeline'!$N$4:$N$15)</f>
        <v>8</v>
      </c>
      <c r="E16" s="74" t="str">
        <f t="shared" si="4"/>
        <v/>
      </c>
      <c r="F16" s="74" t="str">
        <f t="shared" si="4"/>
        <v/>
      </c>
      <c r="G16" s="78" t="str">
        <f t="shared" si="4"/>
        <v/>
      </c>
      <c r="H16" s="78" t="str">
        <f t="shared" si="4"/>
        <v/>
      </c>
      <c r="I16" s="74" t="str">
        <f t="shared" si="4"/>
        <v/>
      </c>
      <c r="J16" s="74" t="str">
        <f t="shared" si="4"/>
        <v/>
      </c>
      <c r="K16" s="74" t="str">
        <f t="shared" si="4"/>
        <v/>
      </c>
      <c r="L16" s="74" t="str">
        <f t="shared" si="4"/>
        <v/>
      </c>
      <c r="M16" s="74" t="str">
        <f t="shared" si="4"/>
        <v/>
      </c>
      <c r="N16" s="78" t="str">
        <f t="shared" si="4"/>
        <v/>
      </c>
      <c r="O16" s="78" t="str">
        <f t="shared" si="5"/>
        <v/>
      </c>
      <c r="P16" s="74" t="str">
        <f t="shared" si="5"/>
        <v/>
      </c>
      <c r="Q16" s="74" t="str">
        <f t="shared" si="5"/>
        <v/>
      </c>
      <c r="R16" s="74" t="str">
        <f t="shared" si="5"/>
        <v/>
      </c>
      <c r="S16" s="74" t="str">
        <f t="shared" si="5"/>
        <v/>
      </c>
      <c r="T16" s="74" t="str">
        <f t="shared" si="5"/>
        <v/>
      </c>
      <c r="U16" s="78" t="str">
        <f t="shared" si="5"/>
        <v/>
      </c>
      <c r="V16" s="78" t="str">
        <f t="shared" si="5"/>
        <v/>
      </c>
      <c r="W16" s="74" t="str">
        <f t="shared" si="5"/>
        <v/>
      </c>
      <c r="X16" s="74" t="str">
        <f t="shared" si="5"/>
        <v/>
      </c>
      <c r="Y16" s="74" t="str">
        <f t="shared" si="6"/>
        <v/>
      </c>
      <c r="Z16" s="74" t="str">
        <f t="shared" si="6"/>
        <v/>
      </c>
      <c r="AA16" s="74" t="str">
        <f t="shared" si="6"/>
        <v/>
      </c>
      <c r="AB16" s="78" t="str">
        <f t="shared" si="6"/>
        <v/>
      </c>
      <c r="AC16" s="78" t="str">
        <f t="shared" si="6"/>
        <v/>
      </c>
      <c r="AD16" s="74" t="str">
        <f t="shared" si="6"/>
        <v/>
      </c>
      <c r="AE16" s="74" t="str">
        <f t="shared" si="6"/>
        <v/>
      </c>
      <c r="AF16" s="74" t="str">
        <f t="shared" si="6"/>
        <v/>
      </c>
      <c r="AG16" s="74" t="str">
        <f t="shared" si="6"/>
        <v/>
      </c>
      <c r="AH16" s="74" t="str">
        <f t="shared" si="6"/>
        <v/>
      </c>
      <c r="AI16" s="78" t="str">
        <f t="shared" si="7"/>
        <v/>
      </c>
      <c r="AJ16" s="78" t="str">
        <f t="shared" si="7"/>
        <v/>
      </c>
      <c r="AK16" s="74" t="str">
        <f t="shared" si="7"/>
        <v/>
      </c>
      <c r="AL16" s="74" t="str">
        <f t="shared" si="7"/>
        <v/>
      </c>
      <c r="AM16" s="74" t="str">
        <f t="shared" si="7"/>
        <v/>
      </c>
      <c r="AN16" s="74" t="str">
        <f t="shared" si="7"/>
        <v/>
      </c>
      <c r="AO16" s="74" t="str">
        <f t="shared" si="7"/>
        <v/>
      </c>
      <c r="AP16" s="78" t="str">
        <f t="shared" si="7"/>
        <v/>
      </c>
      <c r="AQ16" s="78" t="str">
        <f t="shared" si="7"/>
        <v/>
      </c>
      <c r="AR16" s="74" t="str">
        <f t="shared" si="7"/>
        <v/>
      </c>
      <c r="AS16" s="74" t="str">
        <f t="shared" si="8"/>
        <v/>
      </c>
      <c r="AT16" s="74" t="str">
        <f t="shared" si="8"/>
        <v/>
      </c>
      <c r="AU16" s="74" t="str">
        <f t="shared" si="8"/>
        <v/>
      </c>
      <c r="AV16" s="74" t="str">
        <f t="shared" si="8"/>
        <v/>
      </c>
      <c r="AW16" s="78" t="str">
        <f t="shared" si="8"/>
        <v/>
      </c>
      <c r="AX16" s="78" t="str">
        <f t="shared" si="8"/>
        <v/>
      </c>
      <c r="AY16" s="74" t="str">
        <f t="shared" si="8"/>
        <v/>
      </c>
      <c r="AZ16" s="74" t="str">
        <f t="shared" si="8"/>
        <v/>
      </c>
      <c r="BA16" s="74" t="str">
        <f t="shared" si="8"/>
        <v/>
      </c>
      <c r="BB16" s="74" t="str">
        <f t="shared" si="8"/>
        <v/>
      </c>
      <c r="BC16" s="74" t="str">
        <f t="shared" si="9"/>
        <v/>
      </c>
      <c r="BD16" s="78" t="str">
        <f t="shared" si="9"/>
        <v/>
      </c>
      <c r="BE16" s="78" t="str">
        <f t="shared" si="9"/>
        <v/>
      </c>
      <c r="BF16" s="74" t="str">
        <f t="shared" si="9"/>
        <v/>
      </c>
      <c r="BG16" s="74" t="str">
        <f t="shared" si="9"/>
        <v/>
      </c>
      <c r="BH16" s="74" t="str">
        <f t="shared" si="9"/>
        <v/>
      </c>
      <c r="BI16" s="74" t="str">
        <f t="shared" si="9"/>
        <v/>
      </c>
      <c r="BJ16" s="74" t="str">
        <f t="shared" si="9"/>
        <v/>
      </c>
      <c r="BK16" s="78" t="str">
        <f t="shared" si="9"/>
        <v/>
      </c>
      <c r="BL16" s="78" t="str">
        <f t="shared" si="9"/>
        <v/>
      </c>
      <c r="BM16" s="74" t="str">
        <f t="shared" si="10"/>
        <v/>
      </c>
      <c r="BN16" s="74" t="str">
        <f t="shared" si="10"/>
        <v/>
      </c>
      <c r="BO16" s="74" t="str">
        <f t="shared" si="10"/>
        <v/>
      </c>
      <c r="BP16" s="74" t="str">
        <f t="shared" si="10"/>
        <v/>
      </c>
      <c r="BQ16" s="74" t="str">
        <f t="shared" si="10"/>
        <v/>
      </c>
      <c r="BR16" s="78" t="str">
        <f t="shared" si="10"/>
        <v/>
      </c>
      <c r="BS16" s="78" t="str">
        <f t="shared" si="10"/>
        <v/>
      </c>
      <c r="BT16" s="74" t="str">
        <f t="shared" si="10"/>
        <v/>
      </c>
      <c r="BU16" s="74" t="str">
        <f t="shared" si="10"/>
        <v/>
      </c>
      <c r="BV16" s="74" t="str">
        <f t="shared" si="10"/>
        <v/>
      </c>
      <c r="BW16" s="74" t="str">
        <f t="shared" si="11"/>
        <v/>
      </c>
      <c r="BX16" s="74" t="str">
        <f t="shared" si="11"/>
        <v/>
      </c>
      <c r="BY16" s="78" t="str">
        <f t="shared" si="11"/>
        <v/>
      </c>
      <c r="BZ16" s="78" t="str">
        <f t="shared" si="11"/>
        <v/>
      </c>
      <c r="CA16" s="74" t="str">
        <f t="shared" si="11"/>
        <v/>
      </c>
      <c r="CB16" s="74" t="str">
        <f t="shared" si="11"/>
        <v/>
      </c>
      <c r="CC16" s="74" t="str">
        <f t="shared" si="11"/>
        <v/>
      </c>
      <c r="CD16" s="74" t="str">
        <f t="shared" si="11"/>
        <v/>
      </c>
      <c r="CE16" s="74" t="str">
        <f t="shared" si="11"/>
        <v/>
      </c>
      <c r="CF16" s="78" t="str">
        <f t="shared" si="11"/>
        <v/>
      </c>
      <c r="CG16" s="78" t="str">
        <f t="shared" si="12"/>
        <v/>
      </c>
      <c r="CH16" s="74" t="str">
        <f t="shared" si="12"/>
        <v/>
      </c>
      <c r="CI16" s="74" t="str">
        <f t="shared" si="12"/>
        <v/>
      </c>
      <c r="CJ16" s="74" t="str">
        <f t="shared" si="12"/>
        <v/>
      </c>
      <c r="CK16" s="74" t="str">
        <f t="shared" si="12"/>
        <v/>
      </c>
      <c r="CL16" s="74" t="str">
        <f t="shared" si="12"/>
        <v/>
      </c>
      <c r="CM16" s="78" t="str">
        <f t="shared" si="12"/>
        <v/>
      </c>
      <c r="CN16" s="78" t="str">
        <f t="shared" si="12"/>
        <v/>
      </c>
      <c r="CO16" s="74" t="str">
        <f t="shared" si="12"/>
        <v/>
      </c>
      <c r="CP16" s="74" t="str">
        <f t="shared" si="12"/>
        <v/>
      </c>
      <c r="CQ16" s="74" t="str">
        <f t="shared" si="13"/>
        <v/>
      </c>
      <c r="CR16" s="74" t="str">
        <f t="shared" si="13"/>
        <v/>
      </c>
      <c r="CS16" s="74" t="str">
        <f t="shared" si="13"/>
        <v/>
      </c>
      <c r="CT16" s="78" t="str">
        <f t="shared" si="13"/>
        <v/>
      </c>
      <c r="CU16" s="78" t="str">
        <f t="shared" si="13"/>
        <v/>
      </c>
      <c r="CV16" s="74" t="str">
        <f t="shared" si="13"/>
        <v/>
      </c>
      <c r="CW16" s="74" t="str">
        <f t="shared" si="13"/>
        <v/>
      </c>
      <c r="CX16" s="74" t="str">
        <f t="shared" si="13"/>
        <v/>
      </c>
      <c r="CY16" s="74" t="str">
        <f t="shared" si="13"/>
        <v/>
      </c>
      <c r="CZ16" s="74" t="str">
        <f t="shared" si="13"/>
        <v/>
      </c>
      <c r="DA16" s="78" t="str">
        <f t="shared" si="14"/>
        <v/>
      </c>
      <c r="DB16" s="78" t="str">
        <f t="shared" si="14"/>
        <v/>
      </c>
      <c r="DC16" s="74" t="str">
        <f t="shared" si="14"/>
        <v/>
      </c>
      <c r="DD16" s="74" t="str">
        <f t="shared" si="14"/>
        <v/>
      </c>
      <c r="DE16" s="74" t="str">
        <f t="shared" si="14"/>
        <v/>
      </c>
      <c r="DF16" s="74" t="str">
        <f t="shared" si="14"/>
        <v/>
      </c>
      <c r="DG16" s="74" t="str">
        <f t="shared" si="14"/>
        <v/>
      </c>
      <c r="DH16" s="78" t="str">
        <f t="shared" si="14"/>
        <v/>
      </c>
      <c r="DI16" s="78" t="str">
        <f t="shared" si="14"/>
        <v/>
      </c>
      <c r="DJ16" s="74" t="str">
        <f t="shared" si="14"/>
        <v/>
      </c>
      <c r="DK16" s="74" t="str">
        <f t="shared" si="15"/>
        <v/>
      </c>
      <c r="DL16" s="74" t="str">
        <f t="shared" si="15"/>
        <v/>
      </c>
      <c r="DM16" s="74" t="str">
        <f t="shared" si="15"/>
        <v/>
      </c>
      <c r="DN16" s="74" t="str">
        <f t="shared" si="15"/>
        <v/>
      </c>
      <c r="DO16" s="78" t="str">
        <f t="shared" si="15"/>
        <v/>
      </c>
      <c r="DP16" s="78" t="str">
        <f t="shared" si="15"/>
        <v/>
      </c>
      <c r="DQ16" s="74" t="str">
        <f t="shared" si="15"/>
        <v/>
      </c>
      <c r="DR16" s="74" t="str">
        <f t="shared" si="15"/>
        <v/>
      </c>
      <c r="DS16" s="75">
        <f t="shared" si="15"/>
        <v>8</v>
      </c>
      <c r="DT16" s="75">
        <f t="shared" si="15"/>
        <v>8</v>
      </c>
      <c r="DU16" s="75">
        <f t="shared" si="16"/>
        <v>8</v>
      </c>
      <c r="DV16" s="75">
        <f t="shared" si="16"/>
        <v>8</v>
      </c>
      <c r="DW16" s="75">
        <f t="shared" si="16"/>
        <v>8</v>
      </c>
      <c r="DX16" s="75">
        <f t="shared" si="16"/>
        <v>8</v>
      </c>
      <c r="DY16" s="75">
        <f t="shared" si="16"/>
        <v>8</v>
      </c>
      <c r="DZ16" s="75">
        <f t="shared" si="16"/>
        <v>8</v>
      </c>
      <c r="EA16" s="75">
        <f t="shared" si="16"/>
        <v>8</v>
      </c>
      <c r="EB16" s="75">
        <f t="shared" si="16"/>
        <v>8</v>
      </c>
      <c r="EC16" s="75">
        <f t="shared" si="16"/>
        <v>8</v>
      </c>
      <c r="ED16" s="75">
        <f t="shared" si="16"/>
        <v>8</v>
      </c>
      <c r="EE16" s="75">
        <f t="shared" si="17"/>
        <v>8</v>
      </c>
      <c r="EF16" s="75">
        <f t="shared" si="17"/>
        <v>8</v>
      </c>
      <c r="EG16" s="75">
        <f t="shared" si="17"/>
        <v>8</v>
      </c>
      <c r="EH16" s="76">
        <f t="shared" si="17"/>
        <v>8</v>
      </c>
      <c r="EI16" s="76">
        <f t="shared" si="17"/>
        <v>8</v>
      </c>
      <c r="EJ16" s="76">
        <f t="shared" si="17"/>
        <v>8</v>
      </c>
      <c r="EK16" s="76">
        <f t="shared" si="17"/>
        <v>8</v>
      </c>
      <c r="EL16" s="76">
        <f t="shared" si="17"/>
        <v>8</v>
      </c>
      <c r="EM16" s="77">
        <f t="shared" si="17"/>
        <v>8</v>
      </c>
      <c r="EN16" s="77">
        <f t="shared" si="17"/>
        <v>8</v>
      </c>
      <c r="EO16" s="77">
        <f t="shared" si="18"/>
        <v>8</v>
      </c>
      <c r="EP16" s="74" t="str">
        <f t="shared" si="18"/>
        <v/>
      </c>
      <c r="EQ16" s="78" t="str">
        <f t="shared" si="18"/>
        <v/>
      </c>
      <c r="ER16" s="78" t="str">
        <f t="shared" si="18"/>
        <v/>
      </c>
      <c r="ES16" s="74" t="str">
        <f t="shared" si="18"/>
        <v/>
      </c>
      <c r="ET16" s="74" t="str">
        <f t="shared" si="18"/>
        <v/>
      </c>
      <c r="EU16" s="74" t="str">
        <f t="shared" si="18"/>
        <v/>
      </c>
      <c r="EV16" s="74" t="str">
        <f t="shared" si="18"/>
        <v/>
      </c>
      <c r="EW16" s="74" t="str">
        <f t="shared" si="18"/>
        <v/>
      </c>
      <c r="EX16" s="78" t="str">
        <f t="shared" si="18"/>
        <v/>
      </c>
      <c r="EY16" s="78" t="str">
        <f t="shared" si="19"/>
        <v/>
      </c>
      <c r="EZ16" s="74" t="str">
        <f t="shared" si="19"/>
        <v/>
      </c>
      <c r="FA16" s="74" t="str">
        <f t="shared" si="19"/>
        <v/>
      </c>
      <c r="FB16" s="74" t="str">
        <f t="shared" si="19"/>
        <v/>
      </c>
      <c r="FC16" s="74" t="str">
        <f t="shared" si="19"/>
        <v/>
      </c>
      <c r="FD16" s="74" t="str">
        <f t="shared" si="19"/>
        <v/>
      </c>
      <c r="FE16" s="78" t="str">
        <f t="shared" si="19"/>
        <v/>
      </c>
      <c r="FF16" s="78" t="str">
        <f t="shared" si="19"/>
        <v/>
      </c>
      <c r="FG16" s="74" t="str">
        <f t="shared" si="19"/>
        <v/>
      </c>
      <c r="FH16" s="74" t="str">
        <f t="shared" si="19"/>
        <v/>
      </c>
      <c r="FI16" s="74" t="str">
        <f t="shared" si="20"/>
        <v/>
      </c>
      <c r="FJ16" s="74" t="str">
        <f t="shared" si="20"/>
        <v/>
      </c>
      <c r="FK16" s="74" t="str">
        <f t="shared" si="20"/>
        <v/>
      </c>
      <c r="FL16" s="78" t="str">
        <f t="shared" si="20"/>
        <v/>
      </c>
      <c r="FM16" s="78" t="str">
        <f t="shared" si="20"/>
        <v/>
      </c>
      <c r="FN16" s="74" t="str">
        <f t="shared" si="20"/>
        <v/>
      </c>
      <c r="FO16" s="74" t="str">
        <f t="shared" si="20"/>
        <v/>
      </c>
      <c r="FP16" s="74" t="str">
        <f t="shared" si="20"/>
        <v/>
      </c>
      <c r="FQ16" s="74" t="str">
        <f t="shared" si="20"/>
        <v/>
      </c>
      <c r="FR16" s="74" t="str">
        <f t="shared" si="20"/>
        <v/>
      </c>
      <c r="FS16" s="78" t="str">
        <f t="shared" si="21"/>
        <v/>
      </c>
      <c r="FT16" s="78" t="str">
        <f t="shared" si="21"/>
        <v/>
      </c>
      <c r="FU16" s="74" t="str">
        <f t="shared" si="21"/>
        <v/>
      </c>
      <c r="FV16" s="74" t="str">
        <f t="shared" si="21"/>
        <v/>
      </c>
      <c r="FW16" s="74" t="str">
        <f t="shared" si="21"/>
        <v/>
      </c>
      <c r="FX16" s="74" t="str">
        <f t="shared" si="21"/>
        <v/>
      </c>
      <c r="FY16" s="74" t="str">
        <f t="shared" si="21"/>
        <v/>
      </c>
      <c r="FZ16" s="78" t="str">
        <f t="shared" si="21"/>
        <v/>
      </c>
      <c r="GA16" s="78" t="str">
        <f t="shared" si="21"/>
        <v/>
      </c>
      <c r="GB16" s="74" t="str">
        <f t="shared" si="21"/>
        <v/>
      </c>
      <c r="GC16" s="74" t="str">
        <f t="shared" si="22"/>
        <v/>
      </c>
      <c r="GD16" s="74" t="str">
        <f t="shared" si="22"/>
        <v/>
      </c>
      <c r="GE16" s="74" t="str">
        <f t="shared" si="22"/>
        <v/>
      </c>
      <c r="GF16" s="74" t="str">
        <f t="shared" si="22"/>
        <v/>
      </c>
      <c r="GG16" s="78" t="str">
        <f t="shared" si="22"/>
        <v/>
      </c>
      <c r="GH16" s="78" t="str">
        <f t="shared" si="22"/>
        <v/>
      </c>
      <c r="GI16" s="74" t="str">
        <f t="shared" si="22"/>
        <v/>
      </c>
      <c r="GJ16" s="74" t="str">
        <f t="shared" si="22"/>
        <v/>
      </c>
      <c r="GK16" s="74" t="str">
        <f t="shared" si="22"/>
        <v/>
      </c>
      <c r="GL16" s="74" t="str">
        <f t="shared" si="22"/>
        <v/>
      </c>
      <c r="GM16" s="74" t="str">
        <f t="shared" si="23"/>
        <v/>
      </c>
      <c r="GN16" s="78" t="str">
        <f t="shared" si="23"/>
        <v/>
      </c>
      <c r="GO16" s="78" t="str">
        <f t="shared" si="23"/>
        <v/>
      </c>
      <c r="GP16" s="74" t="str">
        <f t="shared" si="23"/>
        <v/>
      </c>
      <c r="GQ16" s="74" t="str">
        <f t="shared" si="23"/>
        <v/>
      </c>
      <c r="GR16" s="74" t="str">
        <f t="shared" si="23"/>
        <v/>
      </c>
      <c r="GS16" s="74" t="str">
        <f t="shared" si="23"/>
        <v/>
      </c>
      <c r="GT16" s="74" t="str">
        <f t="shared" si="23"/>
        <v/>
      </c>
      <c r="GU16" s="78" t="str">
        <f t="shared" si="23"/>
        <v/>
      </c>
      <c r="GV16" s="78" t="str">
        <f t="shared" si="23"/>
        <v/>
      </c>
      <c r="GW16" s="74" t="str">
        <f t="shared" si="24"/>
        <v/>
      </c>
      <c r="GX16" s="74" t="str">
        <f t="shared" si="24"/>
        <v/>
      </c>
      <c r="GY16" s="74" t="str">
        <f t="shared" si="24"/>
        <v/>
      </c>
      <c r="GZ16" s="74" t="str">
        <f t="shared" si="24"/>
        <v/>
      </c>
      <c r="HA16" s="74" t="str">
        <f t="shared" si="24"/>
        <v/>
      </c>
      <c r="HB16" s="78" t="str">
        <f t="shared" si="24"/>
        <v/>
      </c>
      <c r="HC16" s="78" t="str">
        <f t="shared" si="24"/>
        <v/>
      </c>
      <c r="HD16" s="74" t="str">
        <f t="shared" si="24"/>
        <v/>
      </c>
      <c r="HE16" s="74" t="str">
        <f t="shared" si="24"/>
        <v/>
      </c>
      <c r="HF16" s="74" t="str">
        <f t="shared" si="24"/>
        <v/>
      </c>
      <c r="HG16" s="74" t="str">
        <f t="shared" si="24"/>
        <v/>
      </c>
      <c r="HH16" s="74" t="str">
        <f t="shared" si="24"/>
        <v/>
      </c>
    </row>
    <row r="17" spans="1:216" x14ac:dyDescent="0.2">
      <c r="A17" s="82" t="str">
        <f>'FY1 Event Pipeline'!A14</f>
        <v>DAZ</v>
      </c>
      <c r="B17" s="83">
        <f>_xlfn.XLOOKUP(A17,'FY1 Event Pipeline'!$A$4:$A$15,'FY1 Event Pipeline'!$H$4:$H$15)</f>
        <v>46466</v>
      </c>
      <c r="C17" s="83">
        <f>_xlfn.XLOOKUP(A17,'FY1 Event Pipeline'!$A$4:$A$15,'FY1 Event Pipeline'!$J$4:$J$15)</f>
        <v>46496</v>
      </c>
      <c r="D17" s="84">
        <f>_xlfn.XLOOKUP(A17,'FY1 Event Pipeline'!$A$4:$A$15,'FY1 Event Pipeline'!$N$4:$N$15)</f>
        <v>15</v>
      </c>
      <c r="E17" s="74" t="str">
        <f t="shared" si="4"/>
        <v/>
      </c>
      <c r="F17" s="74" t="str">
        <f t="shared" si="4"/>
        <v/>
      </c>
      <c r="G17" s="78" t="str">
        <f t="shared" si="4"/>
        <v/>
      </c>
      <c r="H17" s="78" t="str">
        <f t="shared" si="4"/>
        <v/>
      </c>
      <c r="I17" s="74" t="str">
        <f t="shared" si="4"/>
        <v/>
      </c>
      <c r="J17" s="74" t="str">
        <f t="shared" si="4"/>
        <v/>
      </c>
      <c r="K17" s="74" t="str">
        <f t="shared" si="4"/>
        <v/>
      </c>
      <c r="L17" s="74" t="str">
        <f t="shared" si="4"/>
        <v/>
      </c>
      <c r="M17" s="74" t="str">
        <f t="shared" si="4"/>
        <v/>
      </c>
      <c r="N17" s="78" t="str">
        <f t="shared" si="4"/>
        <v/>
      </c>
      <c r="O17" s="78" t="str">
        <f t="shared" si="5"/>
        <v/>
      </c>
      <c r="P17" s="74" t="str">
        <f t="shared" si="5"/>
        <v/>
      </c>
      <c r="Q17" s="74" t="str">
        <f t="shared" si="5"/>
        <v/>
      </c>
      <c r="R17" s="74" t="str">
        <f t="shared" si="5"/>
        <v/>
      </c>
      <c r="S17" s="74" t="str">
        <f t="shared" si="5"/>
        <v/>
      </c>
      <c r="T17" s="74" t="str">
        <f t="shared" si="5"/>
        <v/>
      </c>
      <c r="U17" s="78" t="str">
        <f t="shared" si="5"/>
        <v/>
      </c>
      <c r="V17" s="78" t="str">
        <f t="shared" si="5"/>
        <v/>
      </c>
      <c r="W17" s="74" t="str">
        <f t="shared" si="5"/>
        <v/>
      </c>
      <c r="X17" s="74" t="str">
        <f t="shared" si="5"/>
        <v/>
      </c>
      <c r="Y17" s="74" t="str">
        <f t="shared" si="6"/>
        <v/>
      </c>
      <c r="Z17" s="74" t="str">
        <f t="shared" si="6"/>
        <v/>
      </c>
      <c r="AA17" s="74" t="str">
        <f t="shared" si="6"/>
        <v/>
      </c>
      <c r="AB17" s="78" t="str">
        <f t="shared" si="6"/>
        <v/>
      </c>
      <c r="AC17" s="78" t="str">
        <f t="shared" si="6"/>
        <v/>
      </c>
      <c r="AD17" s="74" t="str">
        <f t="shared" si="6"/>
        <v/>
      </c>
      <c r="AE17" s="74" t="str">
        <f t="shared" si="6"/>
        <v/>
      </c>
      <c r="AF17" s="74" t="str">
        <f t="shared" si="6"/>
        <v/>
      </c>
      <c r="AG17" s="74" t="str">
        <f t="shared" si="6"/>
        <v/>
      </c>
      <c r="AH17" s="74" t="str">
        <f t="shared" si="6"/>
        <v/>
      </c>
      <c r="AI17" s="78" t="str">
        <f t="shared" si="7"/>
        <v/>
      </c>
      <c r="AJ17" s="78" t="str">
        <f t="shared" si="7"/>
        <v/>
      </c>
      <c r="AK17" s="74" t="str">
        <f t="shared" si="7"/>
        <v/>
      </c>
      <c r="AL17" s="74" t="str">
        <f t="shared" si="7"/>
        <v/>
      </c>
      <c r="AM17" s="74" t="str">
        <f t="shared" si="7"/>
        <v/>
      </c>
      <c r="AN17" s="74" t="str">
        <f t="shared" si="7"/>
        <v/>
      </c>
      <c r="AO17" s="74" t="str">
        <f t="shared" si="7"/>
        <v/>
      </c>
      <c r="AP17" s="78" t="str">
        <f t="shared" si="7"/>
        <v/>
      </c>
      <c r="AQ17" s="78" t="str">
        <f t="shared" si="7"/>
        <v/>
      </c>
      <c r="AR17" s="74" t="str">
        <f t="shared" si="7"/>
        <v/>
      </c>
      <c r="AS17" s="74" t="str">
        <f t="shared" si="8"/>
        <v/>
      </c>
      <c r="AT17" s="74" t="str">
        <f t="shared" si="8"/>
        <v/>
      </c>
      <c r="AU17" s="74" t="str">
        <f t="shared" si="8"/>
        <v/>
      </c>
      <c r="AV17" s="74" t="str">
        <f t="shared" si="8"/>
        <v/>
      </c>
      <c r="AW17" s="78" t="str">
        <f t="shared" si="8"/>
        <v/>
      </c>
      <c r="AX17" s="78" t="str">
        <f t="shared" si="8"/>
        <v/>
      </c>
      <c r="AY17" s="74" t="str">
        <f t="shared" si="8"/>
        <v/>
      </c>
      <c r="AZ17" s="74" t="str">
        <f t="shared" si="8"/>
        <v/>
      </c>
      <c r="BA17" s="74" t="str">
        <f t="shared" si="8"/>
        <v/>
      </c>
      <c r="BB17" s="74" t="str">
        <f t="shared" si="8"/>
        <v/>
      </c>
      <c r="BC17" s="74" t="str">
        <f t="shared" si="9"/>
        <v/>
      </c>
      <c r="BD17" s="78" t="str">
        <f t="shared" si="9"/>
        <v/>
      </c>
      <c r="BE17" s="78" t="str">
        <f t="shared" si="9"/>
        <v/>
      </c>
      <c r="BF17" s="74" t="str">
        <f t="shared" si="9"/>
        <v/>
      </c>
      <c r="BG17" s="74" t="str">
        <f t="shared" si="9"/>
        <v/>
      </c>
      <c r="BH17" s="74" t="str">
        <f t="shared" si="9"/>
        <v/>
      </c>
      <c r="BI17" s="74" t="str">
        <f t="shared" si="9"/>
        <v/>
      </c>
      <c r="BJ17" s="74" t="str">
        <f t="shared" si="9"/>
        <v/>
      </c>
      <c r="BK17" s="78" t="str">
        <f t="shared" si="9"/>
        <v/>
      </c>
      <c r="BL17" s="78" t="str">
        <f t="shared" si="9"/>
        <v/>
      </c>
      <c r="BM17" s="74" t="str">
        <f t="shared" si="10"/>
        <v/>
      </c>
      <c r="BN17" s="74" t="str">
        <f t="shared" si="10"/>
        <v/>
      </c>
      <c r="BO17" s="74" t="str">
        <f t="shared" si="10"/>
        <v/>
      </c>
      <c r="BP17" s="74" t="str">
        <f t="shared" si="10"/>
        <v/>
      </c>
      <c r="BQ17" s="74" t="str">
        <f t="shared" si="10"/>
        <v/>
      </c>
      <c r="BR17" s="78" t="str">
        <f t="shared" si="10"/>
        <v/>
      </c>
      <c r="BS17" s="78" t="str">
        <f t="shared" si="10"/>
        <v/>
      </c>
      <c r="BT17" s="74" t="str">
        <f t="shared" si="10"/>
        <v/>
      </c>
      <c r="BU17" s="74" t="str">
        <f t="shared" si="10"/>
        <v/>
      </c>
      <c r="BV17" s="74" t="str">
        <f t="shared" si="10"/>
        <v/>
      </c>
      <c r="BW17" s="74" t="str">
        <f t="shared" si="11"/>
        <v/>
      </c>
      <c r="BX17" s="74" t="str">
        <f t="shared" si="11"/>
        <v/>
      </c>
      <c r="BY17" s="78" t="str">
        <f t="shared" si="11"/>
        <v/>
      </c>
      <c r="BZ17" s="78" t="str">
        <f t="shared" si="11"/>
        <v/>
      </c>
      <c r="CA17" s="74" t="str">
        <f t="shared" si="11"/>
        <v/>
      </c>
      <c r="CB17" s="74" t="str">
        <f t="shared" si="11"/>
        <v/>
      </c>
      <c r="CC17" s="74" t="str">
        <f t="shared" si="11"/>
        <v/>
      </c>
      <c r="CD17" s="74" t="str">
        <f t="shared" si="11"/>
        <v/>
      </c>
      <c r="CE17" s="74" t="str">
        <f t="shared" si="11"/>
        <v/>
      </c>
      <c r="CF17" s="78" t="str">
        <f t="shared" si="11"/>
        <v/>
      </c>
      <c r="CG17" s="78" t="str">
        <f t="shared" si="12"/>
        <v/>
      </c>
      <c r="CH17" s="74" t="str">
        <f t="shared" si="12"/>
        <v/>
      </c>
      <c r="CI17" s="74" t="str">
        <f t="shared" si="12"/>
        <v/>
      </c>
      <c r="CJ17" s="74" t="str">
        <f t="shared" si="12"/>
        <v/>
      </c>
      <c r="CK17" s="74" t="str">
        <f t="shared" si="12"/>
        <v/>
      </c>
      <c r="CL17" s="74" t="str">
        <f t="shared" si="12"/>
        <v/>
      </c>
      <c r="CM17" s="78" t="str">
        <f t="shared" si="12"/>
        <v/>
      </c>
      <c r="CN17" s="78" t="str">
        <f t="shared" si="12"/>
        <v/>
      </c>
      <c r="CO17" s="74" t="str">
        <f t="shared" si="12"/>
        <v/>
      </c>
      <c r="CP17" s="74" t="str">
        <f t="shared" si="12"/>
        <v/>
      </c>
      <c r="CQ17" s="74" t="str">
        <f t="shared" si="13"/>
        <v/>
      </c>
      <c r="CR17" s="74" t="str">
        <f t="shared" si="13"/>
        <v/>
      </c>
      <c r="CS17" s="74" t="str">
        <f t="shared" si="13"/>
        <v/>
      </c>
      <c r="CT17" s="78" t="str">
        <f t="shared" si="13"/>
        <v/>
      </c>
      <c r="CU17" s="78" t="str">
        <f t="shared" si="13"/>
        <v/>
      </c>
      <c r="CV17" s="74" t="str">
        <f t="shared" si="13"/>
        <v/>
      </c>
      <c r="CW17" s="74" t="str">
        <f t="shared" si="13"/>
        <v/>
      </c>
      <c r="CX17" s="74" t="str">
        <f t="shared" si="13"/>
        <v/>
      </c>
      <c r="CY17" s="74" t="str">
        <f t="shared" si="13"/>
        <v/>
      </c>
      <c r="CZ17" s="74" t="str">
        <f t="shared" si="13"/>
        <v/>
      </c>
      <c r="DA17" s="78" t="str">
        <f t="shared" si="14"/>
        <v/>
      </c>
      <c r="DB17" s="78" t="str">
        <f t="shared" si="14"/>
        <v/>
      </c>
      <c r="DC17" s="74" t="str">
        <f t="shared" si="14"/>
        <v/>
      </c>
      <c r="DD17" s="74" t="str">
        <f t="shared" si="14"/>
        <v/>
      </c>
      <c r="DE17" s="74" t="str">
        <f t="shared" si="14"/>
        <v/>
      </c>
      <c r="DF17" s="74" t="str">
        <f t="shared" si="14"/>
        <v/>
      </c>
      <c r="DG17" s="74" t="str">
        <f t="shared" si="14"/>
        <v/>
      </c>
      <c r="DH17" s="78" t="str">
        <f t="shared" si="14"/>
        <v/>
      </c>
      <c r="DI17" s="78" t="str">
        <f t="shared" si="14"/>
        <v/>
      </c>
      <c r="DJ17" s="74" t="str">
        <f t="shared" si="14"/>
        <v/>
      </c>
      <c r="DK17" s="74" t="str">
        <f t="shared" si="15"/>
        <v/>
      </c>
      <c r="DL17" s="74" t="str">
        <f t="shared" si="15"/>
        <v/>
      </c>
      <c r="DM17" s="74" t="str">
        <f t="shared" si="15"/>
        <v/>
      </c>
      <c r="DN17" s="74" t="str">
        <f t="shared" si="15"/>
        <v/>
      </c>
      <c r="DO17" s="78" t="str">
        <f t="shared" si="15"/>
        <v/>
      </c>
      <c r="DP17" s="78" t="str">
        <f t="shared" si="15"/>
        <v/>
      </c>
      <c r="DQ17" s="74" t="str">
        <f t="shared" si="15"/>
        <v/>
      </c>
      <c r="DR17" s="74" t="str">
        <f t="shared" si="15"/>
        <v/>
      </c>
      <c r="DS17" s="74" t="str">
        <f t="shared" si="15"/>
        <v/>
      </c>
      <c r="DT17" s="74" t="str">
        <f t="shared" si="15"/>
        <v/>
      </c>
      <c r="DU17" s="74" t="str">
        <f t="shared" si="16"/>
        <v/>
      </c>
      <c r="DV17" s="78" t="str">
        <f t="shared" si="16"/>
        <v/>
      </c>
      <c r="DW17" s="78" t="str">
        <f t="shared" si="16"/>
        <v/>
      </c>
      <c r="DX17" s="74" t="str">
        <f t="shared" si="16"/>
        <v/>
      </c>
      <c r="DY17" s="74" t="str">
        <f t="shared" si="16"/>
        <v/>
      </c>
      <c r="DZ17" s="74" t="str">
        <f t="shared" si="16"/>
        <v/>
      </c>
      <c r="EA17" s="74" t="str">
        <f t="shared" si="16"/>
        <v/>
      </c>
      <c r="EB17" s="74" t="str">
        <f t="shared" si="16"/>
        <v/>
      </c>
      <c r="EC17" s="78" t="str">
        <f t="shared" si="16"/>
        <v/>
      </c>
      <c r="ED17" s="78" t="str">
        <f t="shared" si="16"/>
        <v/>
      </c>
      <c r="EE17" s="74" t="str">
        <f t="shared" si="17"/>
        <v/>
      </c>
      <c r="EF17" s="74" t="str">
        <f t="shared" si="17"/>
        <v/>
      </c>
      <c r="EG17" s="74" t="str">
        <f t="shared" si="17"/>
        <v/>
      </c>
      <c r="EH17" s="74" t="str">
        <f t="shared" si="17"/>
        <v/>
      </c>
      <c r="EI17" s="74" t="str">
        <f t="shared" si="17"/>
        <v/>
      </c>
      <c r="EJ17" s="78" t="str">
        <f t="shared" si="17"/>
        <v/>
      </c>
      <c r="EK17" s="78" t="str">
        <f t="shared" si="17"/>
        <v/>
      </c>
      <c r="EL17" s="74" t="str">
        <f t="shared" si="17"/>
        <v/>
      </c>
      <c r="EM17" s="74" t="str">
        <f t="shared" si="17"/>
        <v/>
      </c>
      <c r="EN17" s="74" t="str">
        <f t="shared" si="17"/>
        <v/>
      </c>
      <c r="EO17" s="74" t="str">
        <f t="shared" si="18"/>
        <v/>
      </c>
      <c r="EP17" s="74" t="str">
        <f t="shared" si="18"/>
        <v/>
      </c>
      <c r="EQ17" s="78" t="str">
        <f t="shared" si="18"/>
        <v/>
      </c>
      <c r="ER17" s="78" t="str">
        <f t="shared" si="18"/>
        <v/>
      </c>
      <c r="ES17" s="74" t="str">
        <f t="shared" si="18"/>
        <v/>
      </c>
      <c r="ET17" s="74" t="str">
        <f t="shared" si="18"/>
        <v/>
      </c>
      <c r="EU17" s="74" t="str">
        <f t="shared" si="18"/>
        <v/>
      </c>
      <c r="EV17" s="74" t="str">
        <f t="shared" si="18"/>
        <v/>
      </c>
      <c r="EW17" s="74" t="str">
        <f t="shared" si="18"/>
        <v/>
      </c>
      <c r="EX17" s="78" t="str">
        <f t="shared" si="18"/>
        <v/>
      </c>
      <c r="EY17" s="78" t="str">
        <f t="shared" si="19"/>
        <v/>
      </c>
      <c r="EZ17" s="74" t="str">
        <f t="shared" si="19"/>
        <v/>
      </c>
      <c r="FA17" s="74" t="str">
        <f t="shared" si="19"/>
        <v/>
      </c>
      <c r="FB17" s="74" t="str">
        <f t="shared" si="19"/>
        <v/>
      </c>
      <c r="FC17" s="74" t="str">
        <f t="shared" si="19"/>
        <v/>
      </c>
      <c r="FD17" s="74" t="str">
        <f t="shared" si="19"/>
        <v/>
      </c>
      <c r="FE17" s="78" t="str">
        <f t="shared" si="19"/>
        <v/>
      </c>
      <c r="FF17" s="78" t="str">
        <f t="shared" si="19"/>
        <v/>
      </c>
      <c r="FG17" s="74" t="str">
        <f t="shared" si="19"/>
        <v/>
      </c>
      <c r="FH17" s="74" t="str">
        <f t="shared" si="19"/>
        <v/>
      </c>
      <c r="FI17" s="74" t="str">
        <f t="shared" si="20"/>
        <v/>
      </c>
      <c r="FJ17" s="74" t="str">
        <f t="shared" si="20"/>
        <v/>
      </c>
      <c r="FK17" s="74" t="str">
        <f t="shared" si="20"/>
        <v/>
      </c>
      <c r="FL17" s="78" t="str">
        <f t="shared" si="20"/>
        <v/>
      </c>
      <c r="FM17" s="78" t="str">
        <f t="shared" si="20"/>
        <v/>
      </c>
      <c r="FN17" s="74" t="str">
        <f t="shared" si="20"/>
        <v/>
      </c>
      <c r="FO17" s="74" t="str">
        <f t="shared" si="20"/>
        <v/>
      </c>
      <c r="FP17" s="74" t="str">
        <f t="shared" si="20"/>
        <v/>
      </c>
      <c r="FQ17" s="74" t="str">
        <f t="shared" si="20"/>
        <v/>
      </c>
      <c r="FR17" s="74" t="str">
        <f t="shared" si="20"/>
        <v/>
      </c>
      <c r="FS17" s="75">
        <f t="shared" si="21"/>
        <v>15</v>
      </c>
      <c r="FT17" s="75">
        <f t="shared" si="21"/>
        <v>15</v>
      </c>
      <c r="FU17" s="75">
        <f t="shared" si="21"/>
        <v>15</v>
      </c>
      <c r="FV17" s="75">
        <f t="shared" si="21"/>
        <v>15</v>
      </c>
      <c r="FW17" s="75">
        <f t="shared" si="21"/>
        <v>15</v>
      </c>
      <c r="FX17" s="75">
        <f t="shared" si="21"/>
        <v>15</v>
      </c>
      <c r="FY17" s="75">
        <f t="shared" si="21"/>
        <v>15</v>
      </c>
      <c r="FZ17" s="75">
        <f t="shared" si="21"/>
        <v>15</v>
      </c>
      <c r="GA17" s="75">
        <f t="shared" si="21"/>
        <v>15</v>
      </c>
      <c r="GB17" s="75">
        <f t="shared" si="21"/>
        <v>15</v>
      </c>
      <c r="GC17" s="75">
        <f t="shared" si="22"/>
        <v>15</v>
      </c>
      <c r="GD17" s="75">
        <f t="shared" si="22"/>
        <v>15</v>
      </c>
      <c r="GE17" s="75">
        <f t="shared" si="22"/>
        <v>15</v>
      </c>
      <c r="GF17" s="75">
        <f t="shared" si="22"/>
        <v>15</v>
      </c>
      <c r="GG17" s="76">
        <f t="shared" si="22"/>
        <v>15</v>
      </c>
      <c r="GH17" s="76">
        <f t="shared" si="22"/>
        <v>15</v>
      </c>
      <c r="GI17" s="76">
        <f t="shared" si="22"/>
        <v>15</v>
      </c>
      <c r="GJ17" s="76">
        <f t="shared" si="22"/>
        <v>15</v>
      </c>
      <c r="GK17" s="76">
        <f t="shared" si="22"/>
        <v>15</v>
      </c>
      <c r="GL17" s="76">
        <f t="shared" si="22"/>
        <v>15</v>
      </c>
      <c r="GM17" s="76">
        <f t="shared" si="23"/>
        <v>15</v>
      </c>
      <c r="GN17" s="76">
        <f t="shared" si="23"/>
        <v>15</v>
      </c>
      <c r="GO17" s="76">
        <f t="shared" si="23"/>
        <v>15</v>
      </c>
      <c r="GP17" s="76">
        <f t="shared" si="23"/>
        <v>15</v>
      </c>
      <c r="GQ17" s="77">
        <f t="shared" si="23"/>
        <v>15</v>
      </c>
      <c r="GR17" s="77">
        <f t="shared" si="23"/>
        <v>15</v>
      </c>
      <c r="GS17" s="77">
        <f t="shared" si="23"/>
        <v>15</v>
      </c>
      <c r="GT17" s="77">
        <f t="shared" si="23"/>
        <v>15</v>
      </c>
      <c r="GU17" s="77">
        <f t="shared" si="23"/>
        <v>15</v>
      </c>
      <c r="GV17" s="77">
        <f t="shared" si="23"/>
        <v>15</v>
      </c>
      <c r="GW17" s="77">
        <f t="shared" si="24"/>
        <v>15</v>
      </c>
      <c r="GX17" s="74" t="str">
        <f t="shared" si="24"/>
        <v/>
      </c>
      <c r="GY17" s="74" t="str">
        <f t="shared" si="24"/>
        <v/>
      </c>
      <c r="GZ17" s="74" t="str">
        <f t="shared" si="24"/>
        <v/>
      </c>
      <c r="HA17" s="74" t="str">
        <f t="shared" si="24"/>
        <v/>
      </c>
      <c r="HB17" s="78" t="str">
        <f t="shared" si="24"/>
        <v/>
      </c>
      <c r="HC17" s="78" t="str">
        <f t="shared" si="24"/>
        <v/>
      </c>
      <c r="HD17" s="74" t="str">
        <f t="shared" si="24"/>
        <v/>
      </c>
      <c r="HE17" s="74" t="str">
        <f t="shared" si="24"/>
        <v/>
      </c>
      <c r="HF17" s="74" t="str">
        <f t="shared" si="24"/>
        <v/>
      </c>
      <c r="HG17" s="74" t="str">
        <f t="shared" si="24"/>
        <v/>
      </c>
      <c r="HH17" s="74" t="str">
        <f t="shared" si="24"/>
        <v/>
      </c>
    </row>
    <row r="18" spans="1:216" x14ac:dyDescent="0.2">
      <c r="A18" s="82" t="str">
        <f>'FY1 Event Pipeline'!A15</f>
        <v>BRED</v>
      </c>
      <c r="B18" s="83">
        <f>_xlfn.XLOOKUP(A18,'FY1 Event Pipeline'!$A$4:$A$15,'FY1 Event Pipeline'!$H$4:$H$15)</f>
        <v>46492</v>
      </c>
      <c r="C18" s="83">
        <f>_xlfn.XLOOKUP(A18,'FY1 Event Pipeline'!$A$4:$A$15,'FY1 Event Pipeline'!$J$4:$J$15)</f>
        <v>46506</v>
      </c>
      <c r="D18" s="84">
        <f>_xlfn.XLOOKUP(A18,'FY1 Event Pipeline'!$A$4:$A$15,'FY1 Event Pipeline'!$N$4:$N$15)</f>
        <v>22</v>
      </c>
      <c r="E18" s="74" t="str">
        <f t="shared" si="4"/>
        <v/>
      </c>
      <c r="F18" s="74" t="str">
        <f t="shared" si="4"/>
        <v/>
      </c>
      <c r="G18" s="78" t="str">
        <f t="shared" si="4"/>
        <v/>
      </c>
      <c r="H18" s="78" t="str">
        <f t="shared" si="4"/>
        <v/>
      </c>
      <c r="I18" s="74" t="str">
        <f t="shared" si="4"/>
        <v/>
      </c>
      <c r="J18" s="74" t="str">
        <f t="shared" si="4"/>
        <v/>
      </c>
      <c r="K18" s="74" t="str">
        <f t="shared" si="4"/>
        <v/>
      </c>
      <c r="L18" s="74" t="str">
        <f t="shared" si="4"/>
        <v/>
      </c>
      <c r="M18" s="74" t="str">
        <f t="shared" si="4"/>
        <v/>
      </c>
      <c r="N18" s="78" t="str">
        <f t="shared" si="4"/>
        <v/>
      </c>
      <c r="O18" s="78" t="str">
        <f t="shared" si="5"/>
        <v/>
      </c>
      <c r="P18" s="74" t="str">
        <f t="shared" si="5"/>
        <v/>
      </c>
      <c r="Q18" s="74" t="str">
        <f t="shared" si="5"/>
        <v/>
      </c>
      <c r="R18" s="74" t="str">
        <f t="shared" si="5"/>
        <v/>
      </c>
      <c r="S18" s="74" t="str">
        <f t="shared" si="5"/>
        <v/>
      </c>
      <c r="T18" s="74" t="str">
        <f t="shared" si="5"/>
        <v/>
      </c>
      <c r="U18" s="78" t="str">
        <f t="shared" si="5"/>
        <v/>
      </c>
      <c r="V18" s="78" t="str">
        <f t="shared" si="5"/>
        <v/>
      </c>
      <c r="W18" s="74" t="str">
        <f t="shared" si="5"/>
        <v/>
      </c>
      <c r="X18" s="74" t="str">
        <f t="shared" si="5"/>
        <v/>
      </c>
      <c r="Y18" s="74" t="str">
        <f t="shared" si="6"/>
        <v/>
      </c>
      <c r="Z18" s="74" t="str">
        <f t="shared" si="6"/>
        <v/>
      </c>
      <c r="AA18" s="74" t="str">
        <f t="shared" si="6"/>
        <v/>
      </c>
      <c r="AB18" s="78" t="str">
        <f t="shared" si="6"/>
        <v/>
      </c>
      <c r="AC18" s="78" t="str">
        <f t="shared" si="6"/>
        <v/>
      </c>
      <c r="AD18" s="74" t="str">
        <f t="shared" si="6"/>
        <v/>
      </c>
      <c r="AE18" s="74" t="str">
        <f t="shared" si="6"/>
        <v/>
      </c>
      <c r="AF18" s="74" t="str">
        <f t="shared" si="6"/>
        <v/>
      </c>
      <c r="AG18" s="74" t="str">
        <f t="shared" si="6"/>
        <v/>
      </c>
      <c r="AH18" s="74" t="str">
        <f t="shared" si="6"/>
        <v/>
      </c>
      <c r="AI18" s="78" t="str">
        <f t="shared" si="7"/>
        <v/>
      </c>
      <c r="AJ18" s="78" t="str">
        <f t="shared" si="7"/>
        <v/>
      </c>
      <c r="AK18" s="74" t="str">
        <f t="shared" si="7"/>
        <v/>
      </c>
      <c r="AL18" s="74" t="str">
        <f t="shared" si="7"/>
        <v/>
      </c>
      <c r="AM18" s="74" t="str">
        <f t="shared" si="7"/>
        <v/>
      </c>
      <c r="AN18" s="74" t="str">
        <f t="shared" si="7"/>
        <v/>
      </c>
      <c r="AO18" s="74" t="str">
        <f t="shared" si="7"/>
        <v/>
      </c>
      <c r="AP18" s="78" t="str">
        <f t="shared" si="7"/>
        <v/>
      </c>
      <c r="AQ18" s="78" t="str">
        <f t="shared" si="7"/>
        <v/>
      </c>
      <c r="AR18" s="74" t="str">
        <f t="shared" si="7"/>
        <v/>
      </c>
      <c r="AS18" s="74" t="str">
        <f t="shared" si="8"/>
        <v/>
      </c>
      <c r="AT18" s="74" t="str">
        <f t="shared" si="8"/>
        <v/>
      </c>
      <c r="AU18" s="74" t="str">
        <f t="shared" si="8"/>
        <v/>
      </c>
      <c r="AV18" s="74" t="str">
        <f t="shared" si="8"/>
        <v/>
      </c>
      <c r="AW18" s="78" t="str">
        <f t="shared" si="8"/>
        <v/>
      </c>
      <c r="AX18" s="78" t="str">
        <f t="shared" si="8"/>
        <v/>
      </c>
      <c r="AY18" s="74" t="str">
        <f t="shared" si="8"/>
        <v/>
      </c>
      <c r="AZ18" s="74" t="str">
        <f t="shared" si="8"/>
        <v/>
      </c>
      <c r="BA18" s="74" t="str">
        <f t="shared" si="8"/>
        <v/>
      </c>
      <c r="BB18" s="74" t="str">
        <f t="shared" si="8"/>
        <v/>
      </c>
      <c r="BC18" s="74" t="str">
        <f t="shared" si="9"/>
        <v/>
      </c>
      <c r="BD18" s="78" t="str">
        <f t="shared" si="9"/>
        <v/>
      </c>
      <c r="BE18" s="78" t="str">
        <f t="shared" si="9"/>
        <v/>
      </c>
      <c r="BF18" s="74" t="str">
        <f t="shared" si="9"/>
        <v/>
      </c>
      <c r="BG18" s="74" t="str">
        <f t="shared" si="9"/>
        <v/>
      </c>
      <c r="BH18" s="74" t="str">
        <f t="shared" si="9"/>
        <v/>
      </c>
      <c r="BI18" s="74" t="str">
        <f t="shared" si="9"/>
        <v/>
      </c>
      <c r="BJ18" s="74" t="str">
        <f t="shared" si="9"/>
        <v/>
      </c>
      <c r="BK18" s="78" t="str">
        <f t="shared" si="9"/>
        <v/>
      </c>
      <c r="BL18" s="78" t="str">
        <f t="shared" si="9"/>
        <v/>
      </c>
      <c r="BM18" s="74" t="str">
        <f t="shared" si="10"/>
        <v/>
      </c>
      <c r="BN18" s="74" t="str">
        <f t="shared" si="10"/>
        <v/>
      </c>
      <c r="BO18" s="74" t="str">
        <f t="shared" si="10"/>
        <v/>
      </c>
      <c r="BP18" s="74" t="str">
        <f t="shared" si="10"/>
        <v/>
      </c>
      <c r="BQ18" s="74" t="str">
        <f t="shared" si="10"/>
        <v/>
      </c>
      <c r="BR18" s="78" t="str">
        <f t="shared" si="10"/>
        <v/>
      </c>
      <c r="BS18" s="78" t="str">
        <f t="shared" si="10"/>
        <v/>
      </c>
      <c r="BT18" s="74" t="str">
        <f t="shared" si="10"/>
        <v/>
      </c>
      <c r="BU18" s="74" t="str">
        <f t="shared" si="10"/>
        <v/>
      </c>
      <c r="BV18" s="74" t="str">
        <f t="shared" si="10"/>
        <v/>
      </c>
      <c r="BW18" s="74" t="str">
        <f t="shared" si="11"/>
        <v/>
      </c>
      <c r="BX18" s="74" t="str">
        <f t="shared" si="11"/>
        <v/>
      </c>
      <c r="BY18" s="78" t="str">
        <f t="shared" si="11"/>
        <v/>
      </c>
      <c r="BZ18" s="78" t="str">
        <f t="shared" si="11"/>
        <v/>
      </c>
      <c r="CA18" s="74" t="str">
        <f t="shared" si="11"/>
        <v/>
      </c>
      <c r="CB18" s="74" t="str">
        <f t="shared" si="11"/>
        <v/>
      </c>
      <c r="CC18" s="74" t="str">
        <f t="shared" si="11"/>
        <v/>
      </c>
      <c r="CD18" s="74" t="str">
        <f t="shared" si="11"/>
        <v/>
      </c>
      <c r="CE18" s="74" t="str">
        <f t="shared" si="11"/>
        <v/>
      </c>
      <c r="CF18" s="78" t="str">
        <f t="shared" si="11"/>
        <v/>
      </c>
      <c r="CG18" s="78" t="str">
        <f t="shared" si="12"/>
        <v/>
      </c>
      <c r="CH18" s="74" t="str">
        <f t="shared" si="12"/>
        <v/>
      </c>
      <c r="CI18" s="74" t="str">
        <f t="shared" si="12"/>
        <v/>
      </c>
      <c r="CJ18" s="74" t="str">
        <f t="shared" si="12"/>
        <v/>
      </c>
      <c r="CK18" s="74" t="str">
        <f t="shared" si="12"/>
        <v/>
      </c>
      <c r="CL18" s="74" t="str">
        <f t="shared" si="12"/>
        <v/>
      </c>
      <c r="CM18" s="78" t="str">
        <f t="shared" si="12"/>
        <v/>
      </c>
      <c r="CN18" s="78" t="str">
        <f t="shared" si="12"/>
        <v/>
      </c>
      <c r="CO18" s="74" t="str">
        <f t="shared" si="12"/>
        <v/>
      </c>
      <c r="CP18" s="74" t="str">
        <f t="shared" si="12"/>
        <v/>
      </c>
      <c r="CQ18" s="74" t="str">
        <f t="shared" si="13"/>
        <v/>
      </c>
      <c r="CR18" s="74" t="str">
        <f t="shared" si="13"/>
        <v/>
      </c>
      <c r="CS18" s="74" t="str">
        <f t="shared" si="13"/>
        <v/>
      </c>
      <c r="CT18" s="78" t="str">
        <f t="shared" si="13"/>
        <v/>
      </c>
      <c r="CU18" s="78" t="str">
        <f t="shared" si="13"/>
        <v/>
      </c>
      <c r="CV18" s="74" t="str">
        <f t="shared" si="13"/>
        <v/>
      </c>
      <c r="CW18" s="74" t="str">
        <f t="shared" si="13"/>
        <v/>
      </c>
      <c r="CX18" s="74" t="str">
        <f t="shared" si="13"/>
        <v/>
      </c>
      <c r="CY18" s="74" t="str">
        <f t="shared" si="13"/>
        <v/>
      </c>
      <c r="CZ18" s="74" t="str">
        <f t="shared" si="13"/>
        <v/>
      </c>
      <c r="DA18" s="78" t="str">
        <f t="shared" si="14"/>
        <v/>
      </c>
      <c r="DB18" s="78" t="str">
        <f t="shared" si="14"/>
        <v/>
      </c>
      <c r="DC18" s="74" t="str">
        <f t="shared" si="14"/>
        <v/>
      </c>
      <c r="DD18" s="74" t="str">
        <f t="shared" si="14"/>
        <v/>
      </c>
      <c r="DE18" s="74" t="str">
        <f t="shared" si="14"/>
        <v/>
      </c>
      <c r="DF18" s="74" t="str">
        <f t="shared" si="14"/>
        <v/>
      </c>
      <c r="DG18" s="74" t="str">
        <f t="shared" si="14"/>
        <v/>
      </c>
      <c r="DH18" s="78" t="str">
        <f t="shared" si="14"/>
        <v/>
      </c>
      <c r="DI18" s="78" t="str">
        <f t="shared" si="14"/>
        <v/>
      </c>
      <c r="DJ18" s="74" t="str">
        <f t="shared" si="14"/>
        <v/>
      </c>
      <c r="DK18" s="74" t="str">
        <f t="shared" si="15"/>
        <v/>
      </c>
      <c r="DL18" s="74" t="str">
        <f t="shared" si="15"/>
        <v/>
      </c>
      <c r="DM18" s="74" t="str">
        <f t="shared" si="15"/>
        <v/>
      </c>
      <c r="DN18" s="74" t="str">
        <f t="shared" si="15"/>
        <v/>
      </c>
      <c r="DO18" s="78" t="str">
        <f t="shared" si="15"/>
        <v/>
      </c>
      <c r="DP18" s="78" t="str">
        <f t="shared" si="15"/>
        <v/>
      </c>
      <c r="DQ18" s="74" t="str">
        <f t="shared" si="15"/>
        <v/>
      </c>
      <c r="DR18" s="74" t="str">
        <f t="shared" si="15"/>
        <v/>
      </c>
      <c r="DS18" s="74" t="str">
        <f t="shared" si="15"/>
        <v/>
      </c>
      <c r="DT18" s="74" t="str">
        <f t="shared" si="15"/>
        <v/>
      </c>
      <c r="DU18" s="74" t="str">
        <f t="shared" si="16"/>
        <v/>
      </c>
      <c r="DV18" s="78" t="str">
        <f t="shared" si="16"/>
        <v/>
      </c>
      <c r="DW18" s="78" t="str">
        <f t="shared" si="16"/>
        <v/>
      </c>
      <c r="DX18" s="74" t="str">
        <f t="shared" si="16"/>
        <v/>
      </c>
      <c r="DY18" s="74" t="str">
        <f t="shared" si="16"/>
        <v/>
      </c>
      <c r="DZ18" s="74" t="str">
        <f t="shared" si="16"/>
        <v/>
      </c>
      <c r="EA18" s="74" t="str">
        <f t="shared" si="16"/>
        <v/>
      </c>
      <c r="EB18" s="74" t="str">
        <f t="shared" si="16"/>
        <v/>
      </c>
      <c r="EC18" s="78" t="str">
        <f t="shared" si="16"/>
        <v/>
      </c>
      <c r="ED18" s="78" t="str">
        <f t="shared" si="16"/>
        <v/>
      </c>
      <c r="EE18" s="74" t="str">
        <f t="shared" si="17"/>
        <v/>
      </c>
      <c r="EF18" s="74" t="str">
        <f t="shared" si="17"/>
        <v/>
      </c>
      <c r="EG18" s="74" t="str">
        <f t="shared" si="17"/>
        <v/>
      </c>
      <c r="EH18" s="74" t="str">
        <f t="shared" si="17"/>
        <v/>
      </c>
      <c r="EI18" s="74" t="str">
        <f t="shared" si="17"/>
        <v/>
      </c>
      <c r="EJ18" s="78" t="str">
        <f t="shared" si="17"/>
        <v/>
      </c>
      <c r="EK18" s="78" t="str">
        <f t="shared" si="17"/>
        <v/>
      </c>
      <c r="EL18" s="74" t="str">
        <f t="shared" si="17"/>
        <v/>
      </c>
      <c r="EM18" s="74" t="str">
        <f t="shared" si="17"/>
        <v/>
      </c>
      <c r="EN18" s="74" t="str">
        <f t="shared" si="17"/>
        <v/>
      </c>
      <c r="EO18" s="74" t="str">
        <f t="shared" si="18"/>
        <v/>
      </c>
      <c r="EP18" s="74" t="str">
        <f t="shared" si="18"/>
        <v/>
      </c>
      <c r="EQ18" s="78" t="str">
        <f t="shared" si="18"/>
        <v/>
      </c>
      <c r="ER18" s="78" t="str">
        <f t="shared" si="18"/>
        <v/>
      </c>
      <c r="ES18" s="74" t="str">
        <f t="shared" si="18"/>
        <v/>
      </c>
      <c r="ET18" s="74" t="str">
        <f t="shared" si="18"/>
        <v/>
      </c>
      <c r="EU18" s="74" t="str">
        <f t="shared" si="18"/>
        <v/>
      </c>
      <c r="EV18" s="74" t="str">
        <f t="shared" si="18"/>
        <v/>
      </c>
      <c r="EW18" s="74" t="str">
        <f t="shared" si="18"/>
        <v/>
      </c>
      <c r="EX18" s="78" t="str">
        <f t="shared" si="18"/>
        <v/>
      </c>
      <c r="EY18" s="78" t="str">
        <f t="shared" si="19"/>
        <v/>
      </c>
      <c r="EZ18" s="74" t="str">
        <f t="shared" si="19"/>
        <v/>
      </c>
      <c r="FA18" s="74" t="str">
        <f t="shared" si="19"/>
        <v/>
      </c>
      <c r="FB18" s="74" t="str">
        <f t="shared" si="19"/>
        <v/>
      </c>
      <c r="FC18" s="74" t="str">
        <f t="shared" si="19"/>
        <v/>
      </c>
      <c r="FD18" s="74" t="str">
        <f t="shared" si="19"/>
        <v/>
      </c>
      <c r="FE18" s="78" t="str">
        <f t="shared" si="19"/>
        <v/>
      </c>
      <c r="FF18" s="78" t="str">
        <f t="shared" si="19"/>
        <v/>
      </c>
      <c r="FG18" s="74" t="str">
        <f t="shared" si="19"/>
        <v/>
      </c>
      <c r="FH18" s="74" t="str">
        <f t="shared" si="19"/>
        <v/>
      </c>
      <c r="FI18" s="74" t="str">
        <f t="shared" si="20"/>
        <v/>
      </c>
      <c r="FJ18" s="74" t="str">
        <f t="shared" si="20"/>
        <v/>
      </c>
      <c r="FK18" s="74" t="str">
        <f t="shared" si="20"/>
        <v/>
      </c>
      <c r="FL18" s="78" t="str">
        <f t="shared" si="20"/>
        <v/>
      </c>
      <c r="FM18" s="78" t="str">
        <f t="shared" si="20"/>
        <v/>
      </c>
      <c r="FN18" s="74" t="str">
        <f t="shared" si="20"/>
        <v/>
      </c>
      <c r="FO18" s="74" t="str">
        <f t="shared" si="20"/>
        <v/>
      </c>
      <c r="FP18" s="74" t="str">
        <f t="shared" si="20"/>
        <v/>
      </c>
      <c r="FQ18" s="74" t="str">
        <f t="shared" si="20"/>
        <v/>
      </c>
      <c r="FR18" s="74" t="str">
        <f t="shared" si="20"/>
        <v/>
      </c>
      <c r="FS18" s="78" t="str">
        <f t="shared" si="21"/>
        <v/>
      </c>
      <c r="FT18" s="78" t="str">
        <f t="shared" si="21"/>
        <v/>
      </c>
      <c r="FU18" s="74" t="str">
        <f t="shared" si="21"/>
        <v/>
      </c>
      <c r="FV18" s="74" t="str">
        <f t="shared" si="21"/>
        <v/>
      </c>
      <c r="FW18" s="74" t="str">
        <f t="shared" si="21"/>
        <v/>
      </c>
      <c r="FX18" s="74" t="str">
        <f t="shared" si="21"/>
        <v/>
      </c>
      <c r="FY18" s="74" t="str">
        <f t="shared" si="21"/>
        <v/>
      </c>
      <c r="FZ18" s="78" t="str">
        <f t="shared" si="21"/>
        <v/>
      </c>
      <c r="GA18" s="78" t="str">
        <f t="shared" si="21"/>
        <v/>
      </c>
      <c r="GB18" s="74" t="str">
        <f t="shared" si="21"/>
        <v/>
      </c>
      <c r="GC18" s="74" t="str">
        <f t="shared" si="22"/>
        <v/>
      </c>
      <c r="GD18" s="74" t="str">
        <f t="shared" si="22"/>
        <v/>
      </c>
      <c r="GE18" s="74" t="str">
        <f t="shared" si="22"/>
        <v/>
      </c>
      <c r="GF18" s="74" t="str">
        <f t="shared" si="22"/>
        <v/>
      </c>
      <c r="GG18" s="78" t="str">
        <f t="shared" si="22"/>
        <v/>
      </c>
      <c r="GH18" s="78" t="str">
        <f t="shared" si="22"/>
        <v/>
      </c>
      <c r="GI18" s="74" t="str">
        <f t="shared" si="22"/>
        <v/>
      </c>
      <c r="GJ18" s="74" t="str">
        <f t="shared" si="22"/>
        <v/>
      </c>
      <c r="GK18" s="74" t="str">
        <f t="shared" si="22"/>
        <v/>
      </c>
      <c r="GL18" s="74" t="str">
        <f t="shared" si="22"/>
        <v/>
      </c>
      <c r="GM18" s="74" t="str">
        <f t="shared" si="23"/>
        <v/>
      </c>
      <c r="GN18" s="78" t="str">
        <f t="shared" si="23"/>
        <v/>
      </c>
      <c r="GO18" s="78" t="str">
        <f t="shared" si="23"/>
        <v/>
      </c>
      <c r="GP18" s="74" t="str">
        <f t="shared" si="23"/>
        <v/>
      </c>
      <c r="GQ18" s="74" t="str">
        <f t="shared" si="23"/>
        <v/>
      </c>
      <c r="GR18" s="74" t="str">
        <f t="shared" si="23"/>
        <v/>
      </c>
      <c r="GS18" s="75">
        <f t="shared" si="23"/>
        <v>22</v>
      </c>
      <c r="GT18" s="75">
        <f t="shared" si="23"/>
        <v>22</v>
      </c>
      <c r="GU18" s="75">
        <f t="shared" si="23"/>
        <v>22</v>
      </c>
      <c r="GV18" s="75">
        <f t="shared" si="23"/>
        <v>22</v>
      </c>
      <c r="GW18" s="75">
        <f t="shared" si="24"/>
        <v>22</v>
      </c>
      <c r="GX18" s="75">
        <f t="shared" si="24"/>
        <v>22</v>
      </c>
      <c r="GY18" s="75">
        <f t="shared" si="24"/>
        <v>22</v>
      </c>
      <c r="GZ18" s="76">
        <f t="shared" si="24"/>
        <v>22</v>
      </c>
      <c r="HA18" s="76">
        <f t="shared" si="24"/>
        <v>22</v>
      </c>
      <c r="HB18" s="76">
        <f t="shared" si="24"/>
        <v>22</v>
      </c>
      <c r="HC18" s="76">
        <f t="shared" si="24"/>
        <v>22</v>
      </c>
      <c r="HD18" s="76">
        <f t="shared" si="24"/>
        <v>22</v>
      </c>
      <c r="HE18" s="77">
        <f t="shared" si="24"/>
        <v>22</v>
      </c>
      <c r="HF18" s="77">
        <f t="shared" si="24"/>
        <v>22</v>
      </c>
      <c r="HG18" s="77">
        <f t="shared" si="24"/>
        <v>22</v>
      </c>
      <c r="HH18" s="74" t="str">
        <f t="shared" si="24"/>
        <v/>
      </c>
    </row>
    <row r="19" spans="1:216" x14ac:dyDescent="0.2">
      <c r="A19" s="79" t="s">
        <v>247</v>
      </c>
      <c r="B19" s="79"/>
      <c r="C19" s="79"/>
      <c r="D19" s="80">
        <f>MAX(F19:HH19)</f>
        <v>107</v>
      </c>
      <c r="E19" s="81">
        <f t="shared" ref="E19:BP19" si="25">SUM(E7:E18)</f>
        <v>0</v>
      </c>
      <c r="F19" s="81">
        <f t="shared" si="25"/>
        <v>10</v>
      </c>
      <c r="G19" s="81">
        <f t="shared" si="25"/>
        <v>10</v>
      </c>
      <c r="H19" s="81">
        <f t="shared" si="25"/>
        <v>10</v>
      </c>
      <c r="I19" s="81">
        <f t="shared" si="25"/>
        <v>10</v>
      </c>
      <c r="J19" s="81">
        <f t="shared" si="25"/>
        <v>10</v>
      </c>
      <c r="K19" s="81">
        <f t="shared" si="25"/>
        <v>10</v>
      </c>
      <c r="L19" s="81">
        <f t="shared" si="25"/>
        <v>10</v>
      </c>
      <c r="M19" s="81">
        <f t="shared" si="25"/>
        <v>10</v>
      </c>
      <c r="N19" s="81">
        <f t="shared" si="25"/>
        <v>10</v>
      </c>
      <c r="O19" s="81">
        <f t="shared" si="25"/>
        <v>10</v>
      </c>
      <c r="P19" s="81">
        <f t="shared" si="25"/>
        <v>10</v>
      </c>
      <c r="Q19" s="81">
        <f t="shared" si="25"/>
        <v>10</v>
      </c>
      <c r="R19" s="81">
        <f t="shared" si="25"/>
        <v>10</v>
      </c>
      <c r="S19" s="81">
        <f t="shared" si="25"/>
        <v>10</v>
      </c>
      <c r="T19" s="81">
        <f t="shared" si="25"/>
        <v>10</v>
      </c>
      <c r="U19" s="81">
        <f t="shared" si="25"/>
        <v>10</v>
      </c>
      <c r="V19" s="81">
        <f t="shared" si="25"/>
        <v>10</v>
      </c>
      <c r="W19" s="81">
        <f t="shared" si="25"/>
        <v>10</v>
      </c>
      <c r="X19" s="81">
        <f t="shared" si="25"/>
        <v>10</v>
      </c>
      <c r="Y19" s="81">
        <f t="shared" si="25"/>
        <v>10</v>
      </c>
      <c r="Z19" s="81">
        <f t="shared" si="25"/>
        <v>10</v>
      </c>
      <c r="AA19" s="81">
        <f t="shared" si="25"/>
        <v>18</v>
      </c>
      <c r="AB19" s="81">
        <f t="shared" si="25"/>
        <v>18</v>
      </c>
      <c r="AC19" s="81">
        <f t="shared" si="25"/>
        <v>18</v>
      </c>
      <c r="AD19" s="81">
        <f t="shared" si="25"/>
        <v>18</v>
      </c>
      <c r="AE19" s="81">
        <f t="shared" si="25"/>
        <v>18</v>
      </c>
      <c r="AF19" s="81">
        <f t="shared" si="25"/>
        <v>18</v>
      </c>
      <c r="AG19" s="81">
        <f t="shared" si="25"/>
        <v>18</v>
      </c>
      <c r="AH19" s="81">
        <f t="shared" si="25"/>
        <v>18</v>
      </c>
      <c r="AI19" s="81">
        <f t="shared" si="25"/>
        <v>18</v>
      </c>
      <c r="AJ19" s="81">
        <f t="shared" si="25"/>
        <v>18</v>
      </c>
      <c r="AK19" s="81">
        <f t="shared" si="25"/>
        <v>18</v>
      </c>
      <c r="AL19" s="81">
        <f t="shared" si="25"/>
        <v>18</v>
      </c>
      <c r="AM19" s="81">
        <f t="shared" si="25"/>
        <v>26</v>
      </c>
      <c r="AN19" s="81">
        <f t="shared" si="25"/>
        <v>26</v>
      </c>
      <c r="AO19" s="81">
        <f t="shared" si="25"/>
        <v>50</v>
      </c>
      <c r="AP19" s="81">
        <f t="shared" si="25"/>
        <v>50</v>
      </c>
      <c r="AQ19" s="81">
        <f t="shared" si="25"/>
        <v>50</v>
      </c>
      <c r="AR19" s="81">
        <f t="shared" si="25"/>
        <v>50</v>
      </c>
      <c r="AS19" s="81">
        <f t="shared" si="25"/>
        <v>68</v>
      </c>
      <c r="AT19" s="81">
        <f t="shared" si="25"/>
        <v>68</v>
      </c>
      <c r="AU19" s="81">
        <f t="shared" si="25"/>
        <v>68</v>
      </c>
      <c r="AV19" s="81">
        <f t="shared" si="25"/>
        <v>68</v>
      </c>
      <c r="AW19" s="81">
        <f t="shared" si="25"/>
        <v>60</v>
      </c>
      <c r="AX19" s="81">
        <f t="shared" si="25"/>
        <v>60</v>
      </c>
      <c r="AY19" s="81">
        <f t="shared" si="25"/>
        <v>60</v>
      </c>
      <c r="AZ19" s="81">
        <f t="shared" si="25"/>
        <v>60</v>
      </c>
      <c r="BA19" s="81">
        <f t="shared" si="25"/>
        <v>60</v>
      </c>
      <c r="BB19" s="81">
        <f t="shared" si="25"/>
        <v>60</v>
      </c>
      <c r="BC19" s="81">
        <f t="shared" si="25"/>
        <v>80</v>
      </c>
      <c r="BD19" s="81">
        <f t="shared" si="25"/>
        <v>80</v>
      </c>
      <c r="BE19" s="81">
        <f t="shared" si="25"/>
        <v>80</v>
      </c>
      <c r="BF19" s="81">
        <f t="shared" si="25"/>
        <v>80</v>
      </c>
      <c r="BG19" s="81">
        <f t="shared" si="25"/>
        <v>80</v>
      </c>
      <c r="BH19" s="81">
        <f t="shared" si="25"/>
        <v>80</v>
      </c>
      <c r="BI19" s="81">
        <f t="shared" si="25"/>
        <v>86</v>
      </c>
      <c r="BJ19" s="81">
        <f t="shared" si="25"/>
        <v>107</v>
      </c>
      <c r="BK19" s="81">
        <f t="shared" si="25"/>
        <v>83</v>
      </c>
      <c r="BL19" s="81">
        <f t="shared" si="25"/>
        <v>83</v>
      </c>
      <c r="BM19" s="81">
        <f t="shared" si="25"/>
        <v>83</v>
      </c>
      <c r="BN19" s="81">
        <f t="shared" si="25"/>
        <v>83</v>
      </c>
      <c r="BO19" s="81">
        <f t="shared" si="25"/>
        <v>83</v>
      </c>
      <c r="BP19" s="81">
        <f t="shared" si="25"/>
        <v>83</v>
      </c>
      <c r="BQ19" s="81">
        <f t="shared" ref="BQ19:EB19" si="26">SUM(BQ7:BQ18)</f>
        <v>83</v>
      </c>
      <c r="BR19" s="81">
        <f t="shared" si="26"/>
        <v>83</v>
      </c>
      <c r="BS19" s="81">
        <f t="shared" si="26"/>
        <v>83</v>
      </c>
      <c r="BT19" s="81">
        <f t="shared" si="26"/>
        <v>65</v>
      </c>
      <c r="BU19" s="81">
        <f t="shared" si="26"/>
        <v>65</v>
      </c>
      <c r="BV19" s="81">
        <f t="shared" si="26"/>
        <v>65</v>
      </c>
      <c r="BW19" s="81">
        <f t="shared" si="26"/>
        <v>36</v>
      </c>
      <c r="BX19" s="81">
        <f t="shared" si="26"/>
        <v>36</v>
      </c>
      <c r="BY19" s="81">
        <f t="shared" si="26"/>
        <v>36</v>
      </c>
      <c r="BZ19" s="81">
        <f t="shared" si="26"/>
        <v>36</v>
      </c>
      <c r="CA19" s="81">
        <f t="shared" si="26"/>
        <v>36</v>
      </c>
      <c r="CB19" s="81">
        <f t="shared" si="26"/>
        <v>36</v>
      </c>
      <c r="CC19" s="81">
        <f t="shared" si="26"/>
        <v>36</v>
      </c>
      <c r="CD19" s="81">
        <f t="shared" si="26"/>
        <v>36</v>
      </c>
      <c r="CE19" s="81">
        <f t="shared" si="26"/>
        <v>36</v>
      </c>
      <c r="CF19" s="81">
        <f t="shared" si="26"/>
        <v>36</v>
      </c>
      <c r="CG19" s="81">
        <f t="shared" si="26"/>
        <v>36</v>
      </c>
      <c r="CH19" s="81">
        <f t="shared" si="26"/>
        <v>36</v>
      </c>
      <c r="CI19" s="81">
        <f t="shared" si="26"/>
        <v>36</v>
      </c>
      <c r="CJ19" s="81">
        <f t="shared" si="26"/>
        <v>36</v>
      </c>
      <c r="CK19" s="81">
        <f t="shared" si="26"/>
        <v>36</v>
      </c>
      <c r="CL19" s="81">
        <f t="shared" si="26"/>
        <v>36</v>
      </c>
      <c r="CM19" s="81">
        <f t="shared" si="26"/>
        <v>36</v>
      </c>
      <c r="CN19" s="81">
        <f t="shared" si="26"/>
        <v>36</v>
      </c>
      <c r="CO19" s="81">
        <f t="shared" si="26"/>
        <v>36</v>
      </c>
      <c r="CP19" s="81">
        <f t="shared" si="26"/>
        <v>30</v>
      </c>
      <c r="CQ19" s="81">
        <f t="shared" si="26"/>
        <v>30</v>
      </c>
      <c r="CR19" s="81">
        <f t="shared" si="26"/>
        <v>30</v>
      </c>
      <c r="CS19" s="81">
        <f t="shared" si="26"/>
        <v>30</v>
      </c>
      <c r="CT19" s="81">
        <f t="shared" si="26"/>
        <v>30</v>
      </c>
      <c r="CU19" s="81">
        <f t="shared" si="26"/>
        <v>30</v>
      </c>
      <c r="CV19" s="81">
        <f t="shared" si="26"/>
        <v>30</v>
      </c>
      <c r="CW19" s="81">
        <f t="shared" si="26"/>
        <v>30</v>
      </c>
      <c r="CX19" s="81">
        <f t="shared" si="26"/>
        <v>30</v>
      </c>
      <c r="CY19" s="81">
        <f t="shared" si="26"/>
        <v>30</v>
      </c>
      <c r="CZ19" s="81">
        <f t="shared" si="26"/>
        <v>30</v>
      </c>
      <c r="DA19" s="81">
        <f t="shared" si="26"/>
        <v>30</v>
      </c>
      <c r="DB19" s="81">
        <f t="shared" si="26"/>
        <v>30</v>
      </c>
      <c r="DC19" s="81">
        <f t="shared" si="26"/>
        <v>30</v>
      </c>
      <c r="DD19" s="81">
        <f t="shared" si="26"/>
        <v>10</v>
      </c>
      <c r="DE19" s="81">
        <f t="shared" si="26"/>
        <v>10</v>
      </c>
      <c r="DF19" s="81">
        <f t="shared" si="26"/>
        <v>10</v>
      </c>
      <c r="DG19" s="81">
        <f t="shared" si="26"/>
        <v>10</v>
      </c>
      <c r="DH19" s="81">
        <f t="shared" si="26"/>
        <v>10</v>
      </c>
      <c r="DI19" s="81">
        <f t="shared" si="26"/>
        <v>10</v>
      </c>
      <c r="DJ19" s="81">
        <f t="shared" si="26"/>
        <v>10</v>
      </c>
      <c r="DK19" s="81">
        <f t="shared" si="26"/>
        <v>10</v>
      </c>
      <c r="DL19" s="81">
        <f t="shared" si="26"/>
        <v>10</v>
      </c>
      <c r="DM19" s="81">
        <f t="shared" si="26"/>
        <v>10</v>
      </c>
      <c r="DN19" s="81">
        <f t="shared" si="26"/>
        <v>10</v>
      </c>
      <c r="DO19" s="81">
        <f t="shared" si="26"/>
        <v>10</v>
      </c>
      <c r="DP19" s="81">
        <f t="shared" si="26"/>
        <v>10</v>
      </c>
      <c r="DQ19" s="81">
        <f t="shared" si="26"/>
        <v>10</v>
      </c>
      <c r="DR19" s="81">
        <f t="shared" si="26"/>
        <v>10</v>
      </c>
      <c r="DS19" s="81">
        <f t="shared" si="26"/>
        <v>18</v>
      </c>
      <c r="DT19" s="81">
        <f t="shared" si="26"/>
        <v>18</v>
      </c>
      <c r="DU19" s="81">
        <f t="shared" si="26"/>
        <v>18</v>
      </c>
      <c r="DV19" s="81">
        <f t="shared" si="26"/>
        <v>18</v>
      </c>
      <c r="DW19" s="81">
        <f t="shared" si="26"/>
        <v>18</v>
      </c>
      <c r="DX19" s="81">
        <f t="shared" si="26"/>
        <v>18</v>
      </c>
      <c r="DY19" s="81">
        <f t="shared" si="26"/>
        <v>18</v>
      </c>
      <c r="DZ19" s="81">
        <f t="shared" si="26"/>
        <v>18</v>
      </c>
      <c r="EA19" s="81">
        <f t="shared" si="26"/>
        <v>18</v>
      </c>
      <c r="EB19" s="81">
        <f t="shared" si="26"/>
        <v>18</v>
      </c>
      <c r="EC19" s="81">
        <f t="shared" ref="EC19:GN19" si="27">SUM(EC7:EC18)</f>
        <v>18</v>
      </c>
      <c r="ED19" s="81">
        <f t="shared" si="27"/>
        <v>18</v>
      </c>
      <c r="EE19" s="81">
        <f t="shared" si="27"/>
        <v>18</v>
      </c>
      <c r="EF19" s="81">
        <f t="shared" si="27"/>
        <v>18</v>
      </c>
      <c r="EG19" s="81">
        <f t="shared" si="27"/>
        <v>18</v>
      </c>
      <c r="EH19" s="81">
        <f t="shared" si="27"/>
        <v>18</v>
      </c>
      <c r="EI19" s="81">
        <f t="shared" si="27"/>
        <v>18</v>
      </c>
      <c r="EJ19" s="81">
        <f t="shared" si="27"/>
        <v>18</v>
      </c>
      <c r="EK19" s="81">
        <f t="shared" si="27"/>
        <v>18</v>
      </c>
      <c r="EL19" s="81">
        <f t="shared" si="27"/>
        <v>18</v>
      </c>
      <c r="EM19" s="81">
        <f t="shared" si="27"/>
        <v>18</v>
      </c>
      <c r="EN19" s="81">
        <f t="shared" si="27"/>
        <v>18</v>
      </c>
      <c r="EO19" s="81">
        <f t="shared" si="27"/>
        <v>18</v>
      </c>
      <c r="EP19" s="81">
        <f t="shared" si="27"/>
        <v>10</v>
      </c>
      <c r="EQ19" s="81">
        <f t="shared" si="27"/>
        <v>10</v>
      </c>
      <c r="ER19" s="81">
        <f t="shared" si="27"/>
        <v>10</v>
      </c>
      <c r="ES19" s="81">
        <f t="shared" si="27"/>
        <v>10</v>
      </c>
      <c r="ET19" s="81">
        <f t="shared" si="27"/>
        <v>10</v>
      </c>
      <c r="EU19" s="81">
        <f t="shared" si="27"/>
        <v>10</v>
      </c>
      <c r="EV19" s="81">
        <f t="shared" si="27"/>
        <v>10</v>
      </c>
      <c r="EW19" s="81">
        <f t="shared" si="27"/>
        <v>10</v>
      </c>
      <c r="EX19" s="81">
        <f t="shared" si="27"/>
        <v>10</v>
      </c>
      <c r="EY19" s="81">
        <f t="shared" si="27"/>
        <v>10</v>
      </c>
      <c r="EZ19" s="81">
        <f t="shared" si="27"/>
        <v>10</v>
      </c>
      <c r="FA19" s="81">
        <f t="shared" si="27"/>
        <v>10</v>
      </c>
      <c r="FB19" s="81">
        <f t="shared" si="27"/>
        <v>10</v>
      </c>
      <c r="FC19" s="81">
        <f t="shared" si="27"/>
        <v>10</v>
      </c>
      <c r="FD19" s="81">
        <f t="shared" si="27"/>
        <v>10</v>
      </c>
      <c r="FE19" s="81">
        <f t="shared" si="27"/>
        <v>10</v>
      </c>
      <c r="FF19" s="81">
        <f t="shared" si="27"/>
        <v>10</v>
      </c>
      <c r="FG19" s="81">
        <f t="shared" si="27"/>
        <v>0</v>
      </c>
      <c r="FH19" s="81">
        <f t="shared" si="27"/>
        <v>0</v>
      </c>
      <c r="FI19" s="81">
        <f t="shared" si="27"/>
        <v>0</v>
      </c>
      <c r="FJ19" s="81">
        <f t="shared" si="27"/>
        <v>0</v>
      </c>
      <c r="FK19" s="81">
        <f t="shared" si="27"/>
        <v>0</v>
      </c>
      <c r="FL19" s="81">
        <f t="shared" si="27"/>
        <v>0</v>
      </c>
      <c r="FM19" s="81">
        <f t="shared" si="27"/>
        <v>0</v>
      </c>
      <c r="FN19" s="81">
        <f t="shared" si="27"/>
        <v>0</v>
      </c>
      <c r="FO19" s="81">
        <f t="shared" si="27"/>
        <v>0</v>
      </c>
      <c r="FP19" s="81">
        <f t="shared" si="27"/>
        <v>0</v>
      </c>
      <c r="FQ19" s="81">
        <f t="shared" si="27"/>
        <v>0</v>
      </c>
      <c r="FR19" s="81">
        <f t="shared" si="27"/>
        <v>0</v>
      </c>
      <c r="FS19" s="81">
        <f t="shared" si="27"/>
        <v>15</v>
      </c>
      <c r="FT19" s="81">
        <f t="shared" si="27"/>
        <v>15</v>
      </c>
      <c r="FU19" s="81">
        <f t="shared" si="27"/>
        <v>15</v>
      </c>
      <c r="FV19" s="81">
        <f t="shared" si="27"/>
        <v>15</v>
      </c>
      <c r="FW19" s="81">
        <f t="shared" si="27"/>
        <v>15</v>
      </c>
      <c r="FX19" s="81">
        <f t="shared" si="27"/>
        <v>15</v>
      </c>
      <c r="FY19" s="81">
        <f t="shared" si="27"/>
        <v>15</v>
      </c>
      <c r="FZ19" s="81">
        <f t="shared" si="27"/>
        <v>15</v>
      </c>
      <c r="GA19" s="81">
        <f t="shared" si="27"/>
        <v>15</v>
      </c>
      <c r="GB19" s="81">
        <f t="shared" si="27"/>
        <v>15</v>
      </c>
      <c r="GC19" s="81">
        <f t="shared" si="27"/>
        <v>15</v>
      </c>
      <c r="GD19" s="81">
        <f t="shared" si="27"/>
        <v>15</v>
      </c>
      <c r="GE19" s="81">
        <f t="shared" si="27"/>
        <v>15</v>
      </c>
      <c r="GF19" s="81">
        <f t="shared" si="27"/>
        <v>15</v>
      </c>
      <c r="GG19" s="81">
        <f t="shared" si="27"/>
        <v>15</v>
      </c>
      <c r="GH19" s="81">
        <f t="shared" si="27"/>
        <v>15</v>
      </c>
      <c r="GI19" s="81">
        <f t="shared" si="27"/>
        <v>15</v>
      </c>
      <c r="GJ19" s="81">
        <f t="shared" si="27"/>
        <v>15</v>
      </c>
      <c r="GK19" s="81">
        <f t="shared" si="27"/>
        <v>15</v>
      </c>
      <c r="GL19" s="81">
        <f t="shared" si="27"/>
        <v>15</v>
      </c>
      <c r="GM19" s="81">
        <f t="shared" si="27"/>
        <v>15</v>
      </c>
      <c r="GN19" s="81">
        <f t="shared" si="27"/>
        <v>15</v>
      </c>
      <c r="GO19" s="81">
        <f t="shared" ref="GO19:IZ19" si="28">SUM(GO7:GO18)</f>
        <v>15</v>
      </c>
      <c r="GP19" s="81">
        <f t="shared" si="28"/>
        <v>15</v>
      </c>
      <c r="GQ19" s="81">
        <f t="shared" si="28"/>
        <v>15</v>
      </c>
      <c r="GR19" s="81">
        <f t="shared" si="28"/>
        <v>15</v>
      </c>
      <c r="GS19" s="81">
        <f t="shared" si="28"/>
        <v>37</v>
      </c>
      <c r="GT19" s="81">
        <f t="shared" si="28"/>
        <v>37</v>
      </c>
      <c r="GU19" s="81">
        <f t="shared" si="28"/>
        <v>37</v>
      </c>
      <c r="GV19" s="81">
        <f t="shared" si="28"/>
        <v>37</v>
      </c>
      <c r="GW19" s="81">
        <f t="shared" si="28"/>
        <v>37</v>
      </c>
      <c r="GX19" s="81">
        <f t="shared" si="28"/>
        <v>22</v>
      </c>
      <c r="GY19" s="81">
        <f t="shared" si="28"/>
        <v>22</v>
      </c>
      <c r="GZ19" s="81">
        <f t="shared" si="28"/>
        <v>22</v>
      </c>
      <c r="HA19" s="81">
        <f t="shared" si="28"/>
        <v>22</v>
      </c>
      <c r="HB19" s="81">
        <f t="shared" si="28"/>
        <v>22</v>
      </c>
      <c r="HC19" s="81">
        <f t="shared" si="28"/>
        <v>22</v>
      </c>
      <c r="HD19" s="81">
        <f t="shared" si="28"/>
        <v>22</v>
      </c>
      <c r="HE19" s="81">
        <f t="shared" si="28"/>
        <v>22</v>
      </c>
      <c r="HF19" s="81">
        <f t="shared" si="28"/>
        <v>22</v>
      </c>
      <c r="HG19" s="81">
        <f t="shared" si="28"/>
        <v>22</v>
      </c>
      <c r="HH19" s="81">
        <f t="shared" si="28"/>
        <v>0</v>
      </c>
    </row>
    <row r="20" spans="1:216" x14ac:dyDescent="0.2">
      <c r="A20" s="72" t="s">
        <v>248</v>
      </c>
      <c r="B20" s="72"/>
      <c r="C20" s="72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/>
      <c r="DJ20" s="73"/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3"/>
      <c r="ET20" s="73"/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</row>
    <row r="21" spans="1:216" x14ac:dyDescent="0.2">
      <c r="A21" s="82" t="str">
        <f>'FY1 Event Pipeline'!A4</f>
        <v>Saadiyat Nights</v>
      </c>
      <c r="B21" s="83">
        <f>_xlfn.XLOOKUP(A21,'FY1 Event Pipeline'!$A$4:$A$15,'FY1 Event Pipeline'!$H$4:$H$15)</f>
        <v>46297</v>
      </c>
      <c r="C21" s="83">
        <f>_xlfn.XLOOKUP(A21,'FY1 Event Pipeline'!$A$4:$A$15,'FY1 Event Pipeline'!$J$4:$J$15)</f>
        <v>46453</v>
      </c>
      <c r="D21" s="84">
        <f>_xlfn.XLOOKUP(A21,'FY1 Event Pipeline'!$A$4:$A$15,'FY1 Event Pipeline'!$O$4:$O$15)</f>
        <v>10</v>
      </c>
      <c r="E21" s="74" t="str">
        <f t="shared" ref="E21:N32" si="29">IF(AND(E$5&gt;=$B21,E$5&lt;=$C21),$D21,"")</f>
        <v/>
      </c>
      <c r="F21" s="75">
        <f t="shared" si="29"/>
        <v>10</v>
      </c>
      <c r="G21" s="75">
        <f t="shared" si="29"/>
        <v>10</v>
      </c>
      <c r="H21" s="75">
        <f t="shared" si="29"/>
        <v>10</v>
      </c>
      <c r="I21" s="75">
        <f t="shared" si="29"/>
        <v>10</v>
      </c>
      <c r="J21" s="75">
        <f t="shared" si="29"/>
        <v>10</v>
      </c>
      <c r="K21" s="75">
        <f t="shared" si="29"/>
        <v>10</v>
      </c>
      <c r="L21" s="75">
        <f t="shared" si="29"/>
        <v>10</v>
      </c>
      <c r="M21" s="75">
        <f t="shared" si="29"/>
        <v>10</v>
      </c>
      <c r="N21" s="75">
        <f t="shared" si="29"/>
        <v>10</v>
      </c>
      <c r="O21" s="75">
        <f t="shared" ref="O21:X32" si="30">IF(AND(O$5&gt;=$B21,O$5&lt;=$C21),$D21,"")</f>
        <v>10</v>
      </c>
      <c r="P21" s="75">
        <f t="shared" si="30"/>
        <v>10</v>
      </c>
      <c r="Q21" s="75">
        <f t="shared" si="30"/>
        <v>10</v>
      </c>
      <c r="R21" s="75">
        <f t="shared" si="30"/>
        <v>10</v>
      </c>
      <c r="S21" s="75">
        <f t="shared" si="30"/>
        <v>10</v>
      </c>
      <c r="T21" s="75">
        <f t="shared" si="30"/>
        <v>10</v>
      </c>
      <c r="U21" s="75">
        <f t="shared" si="30"/>
        <v>10</v>
      </c>
      <c r="V21" s="75">
        <f t="shared" si="30"/>
        <v>10</v>
      </c>
      <c r="W21" s="75">
        <f t="shared" si="30"/>
        <v>10</v>
      </c>
      <c r="X21" s="75">
        <f t="shared" si="30"/>
        <v>10</v>
      </c>
      <c r="Y21" s="75">
        <f t="shared" ref="Y21:AH32" si="31">IF(AND(Y$5&gt;=$B21,Y$5&lt;=$C21),$D21,"")</f>
        <v>10</v>
      </c>
      <c r="Z21" s="75">
        <f t="shared" si="31"/>
        <v>10</v>
      </c>
      <c r="AA21" s="75">
        <f t="shared" si="31"/>
        <v>10</v>
      </c>
      <c r="AB21" s="75">
        <f t="shared" si="31"/>
        <v>10</v>
      </c>
      <c r="AC21" s="75">
        <f t="shared" si="31"/>
        <v>10</v>
      </c>
      <c r="AD21" s="75">
        <f t="shared" si="31"/>
        <v>10</v>
      </c>
      <c r="AE21" s="75">
        <f t="shared" si="31"/>
        <v>10</v>
      </c>
      <c r="AF21" s="75">
        <f t="shared" si="31"/>
        <v>10</v>
      </c>
      <c r="AG21" s="75">
        <f t="shared" si="31"/>
        <v>10</v>
      </c>
      <c r="AH21" s="75">
        <f t="shared" si="31"/>
        <v>10</v>
      </c>
      <c r="AI21" s="75">
        <f t="shared" ref="AI21:AR32" si="32">IF(AND(AI$5&gt;=$B21,AI$5&lt;=$C21),$D21,"")</f>
        <v>10</v>
      </c>
      <c r="AJ21" s="76">
        <f t="shared" si="32"/>
        <v>10</v>
      </c>
      <c r="AK21" s="76">
        <f t="shared" si="32"/>
        <v>10</v>
      </c>
      <c r="AL21" s="76">
        <f t="shared" si="32"/>
        <v>10</v>
      </c>
      <c r="AM21" s="76">
        <f t="shared" si="32"/>
        <v>10</v>
      </c>
      <c r="AN21" s="76">
        <f t="shared" si="32"/>
        <v>10</v>
      </c>
      <c r="AO21" s="76">
        <f t="shared" si="32"/>
        <v>10</v>
      </c>
      <c r="AP21" s="76">
        <f t="shared" si="32"/>
        <v>10</v>
      </c>
      <c r="AQ21" s="76">
        <f t="shared" si="32"/>
        <v>10</v>
      </c>
      <c r="AR21" s="76">
        <f t="shared" si="32"/>
        <v>10</v>
      </c>
      <c r="AS21" s="76">
        <f t="shared" ref="AS21:BB32" si="33">IF(AND(AS$5&gt;=$B21,AS$5&lt;=$C21),$D21,"")</f>
        <v>10</v>
      </c>
      <c r="AT21" s="76">
        <f t="shared" si="33"/>
        <v>10</v>
      </c>
      <c r="AU21" s="76">
        <f t="shared" si="33"/>
        <v>10</v>
      </c>
      <c r="AV21" s="76">
        <f t="shared" si="33"/>
        <v>10</v>
      </c>
      <c r="AW21" s="76">
        <f t="shared" si="33"/>
        <v>10</v>
      </c>
      <c r="AX21" s="76">
        <f t="shared" si="33"/>
        <v>10</v>
      </c>
      <c r="AY21" s="76">
        <f t="shared" si="33"/>
        <v>10</v>
      </c>
      <c r="AZ21" s="76">
        <f t="shared" si="33"/>
        <v>10</v>
      </c>
      <c r="BA21" s="76">
        <f t="shared" si="33"/>
        <v>10</v>
      </c>
      <c r="BB21" s="76">
        <f t="shared" si="33"/>
        <v>10</v>
      </c>
      <c r="BC21" s="76">
        <f t="shared" ref="BC21:BL32" si="34">IF(AND(BC$5&gt;=$B21,BC$5&lt;=$C21),$D21,"")</f>
        <v>10</v>
      </c>
      <c r="BD21" s="76">
        <f t="shared" si="34"/>
        <v>10</v>
      </c>
      <c r="BE21" s="76">
        <f t="shared" si="34"/>
        <v>10</v>
      </c>
      <c r="BF21" s="76">
        <f t="shared" si="34"/>
        <v>10</v>
      </c>
      <c r="BG21" s="76">
        <f t="shared" si="34"/>
        <v>10</v>
      </c>
      <c r="BH21" s="76">
        <f t="shared" si="34"/>
        <v>10</v>
      </c>
      <c r="BI21" s="76">
        <f t="shared" si="34"/>
        <v>10</v>
      </c>
      <c r="BJ21" s="76">
        <f t="shared" si="34"/>
        <v>10</v>
      </c>
      <c r="BK21" s="76">
        <f t="shared" si="34"/>
        <v>10</v>
      </c>
      <c r="BL21" s="76">
        <f t="shared" si="34"/>
        <v>10</v>
      </c>
      <c r="BM21" s="76">
        <f t="shared" ref="BM21:BV32" si="35">IF(AND(BM$5&gt;=$B21,BM$5&lt;=$C21),$D21,"")</f>
        <v>10</v>
      </c>
      <c r="BN21" s="76">
        <f t="shared" si="35"/>
        <v>10</v>
      </c>
      <c r="BO21" s="76">
        <f t="shared" si="35"/>
        <v>10</v>
      </c>
      <c r="BP21" s="76">
        <f t="shared" si="35"/>
        <v>10</v>
      </c>
      <c r="BQ21" s="76">
        <f t="shared" si="35"/>
        <v>10</v>
      </c>
      <c r="BR21" s="76">
        <f t="shared" si="35"/>
        <v>10</v>
      </c>
      <c r="BS21" s="76">
        <f t="shared" si="35"/>
        <v>10</v>
      </c>
      <c r="BT21" s="76">
        <f t="shared" si="35"/>
        <v>10</v>
      </c>
      <c r="BU21" s="76">
        <f t="shared" si="35"/>
        <v>10</v>
      </c>
      <c r="BV21" s="76">
        <f t="shared" si="35"/>
        <v>10</v>
      </c>
      <c r="BW21" s="76">
        <f t="shared" ref="BW21:CF32" si="36">IF(AND(BW$5&gt;=$B21,BW$5&lt;=$C21),$D21,"")</f>
        <v>10</v>
      </c>
      <c r="BX21" s="76">
        <f t="shared" si="36"/>
        <v>10</v>
      </c>
      <c r="BY21" s="76">
        <f t="shared" si="36"/>
        <v>10</v>
      </c>
      <c r="BZ21" s="76">
        <f t="shared" si="36"/>
        <v>10</v>
      </c>
      <c r="CA21" s="76">
        <f t="shared" si="36"/>
        <v>10</v>
      </c>
      <c r="CB21" s="76">
        <f t="shared" si="36"/>
        <v>10</v>
      </c>
      <c r="CC21" s="76">
        <f t="shared" si="36"/>
        <v>10</v>
      </c>
      <c r="CD21" s="76">
        <f t="shared" si="36"/>
        <v>10</v>
      </c>
      <c r="CE21" s="76">
        <f t="shared" si="36"/>
        <v>10</v>
      </c>
      <c r="CF21" s="76">
        <f t="shared" si="36"/>
        <v>10</v>
      </c>
      <c r="CG21" s="76">
        <f t="shared" ref="CG21:CP32" si="37">IF(AND(CG$5&gt;=$B21,CG$5&lt;=$C21),$D21,"")</f>
        <v>10</v>
      </c>
      <c r="CH21" s="76">
        <f t="shared" si="37"/>
        <v>10</v>
      </c>
      <c r="CI21" s="76">
        <f t="shared" si="37"/>
        <v>10</v>
      </c>
      <c r="CJ21" s="76">
        <f t="shared" si="37"/>
        <v>10</v>
      </c>
      <c r="CK21" s="76">
        <f t="shared" si="37"/>
        <v>10</v>
      </c>
      <c r="CL21" s="76">
        <f t="shared" si="37"/>
        <v>10</v>
      </c>
      <c r="CM21" s="76">
        <f t="shared" si="37"/>
        <v>10</v>
      </c>
      <c r="CN21" s="76">
        <f t="shared" si="37"/>
        <v>10</v>
      </c>
      <c r="CO21" s="76">
        <f t="shared" si="37"/>
        <v>10</v>
      </c>
      <c r="CP21" s="76">
        <f t="shared" si="37"/>
        <v>10</v>
      </c>
      <c r="CQ21" s="76">
        <f t="shared" ref="CQ21:CZ32" si="38">IF(AND(CQ$5&gt;=$B21,CQ$5&lt;=$C21),$D21,"")</f>
        <v>10</v>
      </c>
      <c r="CR21" s="76">
        <f t="shared" si="38"/>
        <v>10</v>
      </c>
      <c r="CS21" s="76">
        <f t="shared" si="38"/>
        <v>10</v>
      </c>
      <c r="CT21" s="76">
        <f t="shared" si="38"/>
        <v>10</v>
      </c>
      <c r="CU21" s="76">
        <f t="shared" si="38"/>
        <v>10</v>
      </c>
      <c r="CV21" s="76">
        <f t="shared" si="38"/>
        <v>10</v>
      </c>
      <c r="CW21" s="76">
        <f t="shared" si="38"/>
        <v>10</v>
      </c>
      <c r="CX21" s="76">
        <f t="shared" si="38"/>
        <v>10</v>
      </c>
      <c r="CY21" s="76">
        <f t="shared" si="38"/>
        <v>10</v>
      </c>
      <c r="CZ21" s="76">
        <f t="shared" si="38"/>
        <v>10</v>
      </c>
      <c r="DA21" s="76">
        <f t="shared" ref="DA21:DJ32" si="39">IF(AND(DA$5&gt;=$B21,DA$5&lt;=$C21),$D21,"")</f>
        <v>10</v>
      </c>
      <c r="DB21" s="76">
        <f t="shared" si="39"/>
        <v>10</v>
      </c>
      <c r="DC21" s="76">
        <f t="shared" si="39"/>
        <v>10</v>
      </c>
      <c r="DD21" s="76">
        <f t="shared" si="39"/>
        <v>10</v>
      </c>
      <c r="DE21" s="76">
        <f t="shared" si="39"/>
        <v>10</v>
      </c>
      <c r="DF21" s="76">
        <f t="shared" si="39"/>
        <v>10</v>
      </c>
      <c r="DG21" s="76">
        <f t="shared" si="39"/>
        <v>10</v>
      </c>
      <c r="DH21" s="76">
        <f t="shared" si="39"/>
        <v>10</v>
      </c>
      <c r="DI21" s="76">
        <f t="shared" si="39"/>
        <v>10</v>
      </c>
      <c r="DJ21" s="76">
        <f t="shared" si="39"/>
        <v>10</v>
      </c>
      <c r="DK21" s="76">
        <f t="shared" ref="DK21:DT32" si="40">IF(AND(DK$5&gt;=$B21,DK$5&lt;=$C21),$D21,"")</f>
        <v>10</v>
      </c>
      <c r="DL21" s="76">
        <f t="shared" si="40"/>
        <v>10</v>
      </c>
      <c r="DM21" s="76">
        <f t="shared" si="40"/>
        <v>10</v>
      </c>
      <c r="DN21" s="76">
        <f t="shared" si="40"/>
        <v>10</v>
      </c>
      <c r="DO21" s="76">
        <f t="shared" si="40"/>
        <v>10</v>
      </c>
      <c r="DP21" s="76">
        <f t="shared" si="40"/>
        <v>10</v>
      </c>
      <c r="DQ21" s="76">
        <f t="shared" si="40"/>
        <v>10</v>
      </c>
      <c r="DR21" s="76">
        <f t="shared" si="40"/>
        <v>10</v>
      </c>
      <c r="DS21" s="76">
        <f t="shared" si="40"/>
        <v>10</v>
      </c>
      <c r="DT21" s="76">
        <f t="shared" si="40"/>
        <v>10</v>
      </c>
      <c r="DU21" s="76">
        <f t="shared" ref="DU21:ED32" si="41">IF(AND(DU$5&gt;=$B21,DU$5&lt;=$C21),$D21,"")</f>
        <v>10</v>
      </c>
      <c r="DV21" s="76">
        <f t="shared" si="41"/>
        <v>10</v>
      </c>
      <c r="DW21" s="76">
        <f t="shared" si="41"/>
        <v>10</v>
      </c>
      <c r="DX21" s="76">
        <f t="shared" si="41"/>
        <v>10</v>
      </c>
      <c r="DY21" s="76">
        <f t="shared" si="41"/>
        <v>10</v>
      </c>
      <c r="DZ21" s="76">
        <f t="shared" si="41"/>
        <v>10</v>
      </c>
      <c r="EA21" s="76">
        <f t="shared" si="41"/>
        <v>10</v>
      </c>
      <c r="EB21" s="76">
        <f t="shared" si="41"/>
        <v>10</v>
      </c>
      <c r="EC21" s="76">
        <f t="shared" si="41"/>
        <v>10</v>
      </c>
      <c r="ED21" s="76">
        <f t="shared" si="41"/>
        <v>10</v>
      </c>
      <c r="EE21" s="76">
        <f t="shared" ref="EE21:EN32" si="42">IF(AND(EE$5&gt;=$B21,EE$5&lt;=$C21),$D21,"")</f>
        <v>10</v>
      </c>
      <c r="EF21" s="76">
        <f t="shared" si="42"/>
        <v>10</v>
      </c>
      <c r="EG21" s="76">
        <f t="shared" si="42"/>
        <v>10</v>
      </c>
      <c r="EH21" s="76">
        <f t="shared" si="42"/>
        <v>10</v>
      </c>
      <c r="EI21" s="76">
        <f t="shared" si="42"/>
        <v>10</v>
      </c>
      <c r="EJ21" s="76">
        <f t="shared" si="42"/>
        <v>10</v>
      </c>
      <c r="EK21" s="76">
        <f t="shared" si="42"/>
        <v>10</v>
      </c>
      <c r="EL21" s="76">
        <f t="shared" si="42"/>
        <v>10</v>
      </c>
      <c r="EM21" s="76">
        <f t="shared" si="42"/>
        <v>10</v>
      </c>
      <c r="EN21" s="76">
        <f t="shared" si="42"/>
        <v>10</v>
      </c>
      <c r="EO21" s="76">
        <f t="shared" ref="EO21:EX32" si="43">IF(AND(EO$5&gt;=$B21,EO$5&lt;=$C21),$D21,"")</f>
        <v>10</v>
      </c>
      <c r="EP21" s="76">
        <f t="shared" si="43"/>
        <v>10</v>
      </c>
      <c r="EQ21" s="76">
        <f t="shared" si="43"/>
        <v>10</v>
      </c>
      <c r="ER21" s="76">
        <f t="shared" si="43"/>
        <v>10</v>
      </c>
      <c r="ES21" s="76">
        <f t="shared" si="43"/>
        <v>10</v>
      </c>
      <c r="ET21" s="76">
        <f t="shared" si="43"/>
        <v>10</v>
      </c>
      <c r="EU21" s="76">
        <f t="shared" si="43"/>
        <v>10</v>
      </c>
      <c r="EV21" s="76">
        <f t="shared" si="43"/>
        <v>10</v>
      </c>
      <c r="EW21" s="76">
        <f t="shared" si="43"/>
        <v>10</v>
      </c>
      <c r="EX21" s="76">
        <f t="shared" si="43"/>
        <v>10</v>
      </c>
      <c r="EY21" s="76">
        <f t="shared" ref="EY21:FH32" si="44">IF(AND(EY$5&gt;=$B21,EY$5&lt;=$C21),$D21,"")</f>
        <v>10</v>
      </c>
      <c r="EZ21" s="77">
        <f t="shared" si="44"/>
        <v>10</v>
      </c>
      <c r="FA21" s="77">
        <f t="shared" si="44"/>
        <v>10</v>
      </c>
      <c r="FB21" s="77">
        <f t="shared" si="44"/>
        <v>10</v>
      </c>
      <c r="FC21" s="77">
        <f t="shared" si="44"/>
        <v>10</v>
      </c>
      <c r="FD21" s="77">
        <f t="shared" si="44"/>
        <v>10</v>
      </c>
      <c r="FE21" s="77">
        <f t="shared" si="44"/>
        <v>10</v>
      </c>
      <c r="FF21" s="77">
        <f t="shared" si="44"/>
        <v>10</v>
      </c>
      <c r="FG21" s="74" t="str">
        <f t="shared" si="44"/>
        <v/>
      </c>
      <c r="FH21" s="74" t="str">
        <f t="shared" si="44"/>
        <v/>
      </c>
      <c r="FI21" s="74" t="str">
        <f t="shared" ref="FI21:FR32" si="45">IF(AND(FI$5&gt;=$B21,FI$5&lt;=$C21),$D21,"")</f>
        <v/>
      </c>
      <c r="FJ21" s="74" t="str">
        <f t="shared" si="45"/>
        <v/>
      </c>
      <c r="FK21" s="74" t="str">
        <f t="shared" si="45"/>
        <v/>
      </c>
      <c r="FL21" s="78" t="str">
        <f t="shared" si="45"/>
        <v/>
      </c>
      <c r="FM21" s="78" t="str">
        <f t="shared" si="45"/>
        <v/>
      </c>
      <c r="FN21" s="74" t="str">
        <f t="shared" si="45"/>
        <v/>
      </c>
      <c r="FO21" s="74" t="str">
        <f t="shared" si="45"/>
        <v/>
      </c>
      <c r="FP21" s="74" t="str">
        <f t="shared" si="45"/>
        <v/>
      </c>
      <c r="FQ21" s="74" t="str">
        <f t="shared" si="45"/>
        <v/>
      </c>
      <c r="FR21" s="74" t="str">
        <f t="shared" si="45"/>
        <v/>
      </c>
      <c r="FS21" s="78" t="str">
        <f t="shared" ref="FS21:GB32" si="46">IF(AND(FS$5&gt;=$B21,FS$5&lt;=$C21),$D21,"")</f>
        <v/>
      </c>
      <c r="FT21" s="78" t="str">
        <f t="shared" si="46"/>
        <v/>
      </c>
      <c r="FU21" s="74" t="str">
        <f t="shared" si="46"/>
        <v/>
      </c>
      <c r="FV21" s="74" t="str">
        <f t="shared" si="46"/>
        <v/>
      </c>
      <c r="FW21" s="74" t="str">
        <f t="shared" si="46"/>
        <v/>
      </c>
      <c r="FX21" s="74" t="str">
        <f t="shared" si="46"/>
        <v/>
      </c>
      <c r="FY21" s="74" t="str">
        <f t="shared" si="46"/>
        <v/>
      </c>
      <c r="FZ21" s="78" t="str">
        <f t="shared" si="46"/>
        <v/>
      </c>
      <c r="GA21" s="78" t="str">
        <f t="shared" si="46"/>
        <v/>
      </c>
      <c r="GB21" s="74" t="str">
        <f t="shared" si="46"/>
        <v/>
      </c>
      <c r="GC21" s="74" t="str">
        <f t="shared" ref="GC21:GL32" si="47">IF(AND(GC$5&gt;=$B21,GC$5&lt;=$C21),$D21,"")</f>
        <v/>
      </c>
      <c r="GD21" s="74" t="str">
        <f t="shared" si="47"/>
        <v/>
      </c>
      <c r="GE21" s="74" t="str">
        <f t="shared" si="47"/>
        <v/>
      </c>
      <c r="GF21" s="74" t="str">
        <f t="shared" si="47"/>
        <v/>
      </c>
      <c r="GG21" s="78" t="str">
        <f t="shared" si="47"/>
        <v/>
      </c>
      <c r="GH21" s="78" t="str">
        <f t="shared" si="47"/>
        <v/>
      </c>
      <c r="GI21" s="74" t="str">
        <f t="shared" si="47"/>
        <v/>
      </c>
      <c r="GJ21" s="74" t="str">
        <f t="shared" si="47"/>
        <v/>
      </c>
      <c r="GK21" s="74" t="str">
        <f t="shared" si="47"/>
        <v/>
      </c>
      <c r="GL21" s="74" t="str">
        <f t="shared" si="47"/>
        <v/>
      </c>
      <c r="GM21" s="74" t="str">
        <f t="shared" ref="GM21:GV32" si="48">IF(AND(GM$5&gt;=$B21,GM$5&lt;=$C21),$D21,"")</f>
        <v/>
      </c>
      <c r="GN21" s="78" t="str">
        <f t="shared" si="48"/>
        <v/>
      </c>
      <c r="GO21" s="78" t="str">
        <f t="shared" si="48"/>
        <v/>
      </c>
      <c r="GP21" s="74" t="str">
        <f t="shared" si="48"/>
        <v/>
      </c>
      <c r="GQ21" s="74" t="str">
        <f t="shared" si="48"/>
        <v/>
      </c>
      <c r="GR21" s="74" t="str">
        <f t="shared" si="48"/>
        <v/>
      </c>
      <c r="GS21" s="74" t="str">
        <f t="shared" si="48"/>
        <v/>
      </c>
      <c r="GT21" s="74" t="str">
        <f t="shared" si="48"/>
        <v/>
      </c>
      <c r="GU21" s="78" t="str">
        <f t="shared" si="48"/>
        <v/>
      </c>
      <c r="GV21" s="78" t="str">
        <f t="shared" si="48"/>
        <v/>
      </c>
      <c r="GW21" s="74" t="str">
        <f t="shared" ref="GW21:HH32" si="49">IF(AND(GW$5&gt;=$B21,GW$5&lt;=$C21),$D21,"")</f>
        <v/>
      </c>
      <c r="GX21" s="74" t="str">
        <f t="shared" si="49"/>
        <v/>
      </c>
      <c r="GY21" s="74" t="str">
        <f t="shared" si="49"/>
        <v/>
      </c>
      <c r="GZ21" s="74" t="str">
        <f t="shared" si="49"/>
        <v/>
      </c>
      <c r="HA21" s="74" t="str">
        <f t="shared" si="49"/>
        <v/>
      </c>
      <c r="HB21" s="78" t="str">
        <f t="shared" si="49"/>
        <v/>
      </c>
      <c r="HC21" s="78" t="str">
        <f t="shared" si="49"/>
        <v/>
      </c>
      <c r="HD21" s="74" t="str">
        <f t="shared" si="49"/>
        <v/>
      </c>
      <c r="HE21" s="74" t="str">
        <f t="shared" si="49"/>
        <v/>
      </c>
      <c r="HF21" s="74" t="str">
        <f t="shared" si="49"/>
        <v/>
      </c>
      <c r="HG21" s="74" t="str">
        <f t="shared" si="49"/>
        <v/>
      </c>
      <c r="HH21" s="74" t="str">
        <f t="shared" si="49"/>
        <v/>
      </c>
    </row>
    <row r="22" spans="1:216" x14ac:dyDescent="0.2">
      <c r="A22" s="82" t="str">
        <f>'FY1 Event Pipeline'!A5</f>
        <v>BRED X</v>
      </c>
      <c r="B22" s="83">
        <f>_xlfn.XLOOKUP(A22,'FY1 Event Pipeline'!$A$4:$A$15,'FY1 Event Pipeline'!$H$4:$H$15)</f>
        <v>46318</v>
      </c>
      <c r="C22" s="83">
        <f>_xlfn.XLOOKUP(A22,'FY1 Event Pipeline'!$A$4:$A$15,'FY1 Event Pipeline'!$J$4:$J$15)</f>
        <v>46339</v>
      </c>
      <c r="D22" s="84">
        <f>_xlfn.XLOOKUP(A22,'FY1 Event Pipeline'!$A$4:$A$15,'FY1 Event Pipeline'!$O$4:$O$15)</f>
        <v>0</v>
      </c>
      <c r="E22" s="74" t="str">
        <f t="shared" si="29"/>
        <v/>
      </c>
      <c r="F22" s="74" t="str">
        <f t="shared" si="29"/>
        <v/>
      </c>
      <c r="G22" s="78" t="str">
        <f t="shared" si="29"/>
        <v/>
      </c>
      <c r="H22" s="78" t="str">
        <f t="shared" si="29"/>
        <v/>
      </c>
      <c r="I22" s="74" t="str">
        <f t="shared" si="29"/>
        <v/>
      </c>
      <c r="J22" s="74" t="str">
        <f t="shared" si="29"/>
        <v/>
      </c>
      <c r="K22" s="74" t="str">
        <f t="shared" si="29"/>
        <v/>
      </c>
      <c r="L22" s="74" t="str">
        <f t="shared" si="29"/>
        <v/>
      </c>
      <c r="M22" s="74" t="str">
        <f t="shared" si="29"/>
        <v/>
      </c>
      <c r="N22" s="78" t="str">
        <f t="shared" si="29"/>
        <v/>
      </c>
      <c r="O22" s="78" t="str">
        <f t="shared" si="30"/>
        <v/>
      </c>
      <c r="P22" s="74" t="str">
        <f t="shared" si="30"/>
        <v/>
      </c>
      <c r="Q22" s="74" t="str">
        <f t="shared" si="30"/>
        <v/>
      </c>
      <c r="R22" s="74" t="str">
        <f t="shared" si="30"/>
        <v/>
      </c>
      <c r="S22" s="74" t="str">
        <f t="shared" si="30"/>
        <v/>
      </c>
      <c r="T22" s="74" t="str">
        <f t="shared" si="30"/>
        <v/>
      </c>
      <c r="U22" s="78" t="str">
        <f t="shared" si="30"/>
        <v/>
      </c>
      <c r="V22" s="78" t="str">
        <f t="shared" si="30"/>
        <v/>
      </c>
      <c r="W22" s="74" t="str">
        <f t="shared" si="30"/>
        <v/>
      </c>
      <c r="X22" s="74" t="str">
        <f t="shared" si="30"/>
        <v/>
      </c>
      <c r="Y22" s="74" t="str">
        <f t="shared" si="31"/>
        <v/>
      </c>
      <c r="Z22" s="74" t="str">
        <f t="shared" si="31"/>
        <v/>
      </c>
      <c r="AA22" s="75">
        <f t="shared" si="31"/>
        <v>0</v>
      </c>
      <c r="AB22" s="75">
        <f t="shared" si="31"/>
        <v>0</v>
      </c>
      <c r="AC22" s="75">
        <f t="shared" si="31"/>
        <v>0</v>
      </c>
      <c r="AD22" s="75">
        <f t="shared" si="31"/>
        <v>0</v>
      </c>
      <c r="AE22" s="75">
        <f t="shared" si="31"/>
        <v>0</v>
      </c>
      <c r="AF22" s="75">
        <f t="shared" si="31"/>
        <v>0</v>
      </c>
      <c r="AG22" s="75">
        <f t="shared" si="31"/>
        <v>0</v>
      </c>
      <c r="AH22" s="75">
        <f t="shared" si="31"/>
        <v>0</v>
      </c>
      <c r="AI22" s="75">
        <f t="shared" si="32"/>
        <v>0</v>
      </c>
      <c r="AJ22" s="75">
        <f t="shared" si="32"/>
        <v>0</v>
      </c>
      <c r="AK22" s="75">
        <f t="shared" si="32"/>
        <v>0</v>
      </c>
      <c r="AL22" s="75">
        <f t="shared" si="32"/>
        <v>0</v>
      </c>
      <c r="AM22" s="75">
        <f t="shared" si="32"/>
        <v>0</v>
      </c>
      <c r="AN22" s="75">
        <f t="shared" si="32"/>
        <v>0</v>
      </c>
      <c r="AO22" s="76">
        <f t="shared" si="32"/>
        <v>0</v>
      </c>
      <c r="AP22" s="76">
        <f t="shared" si="32"/>
        <v>0</v>
      </c>
      <c r="AQ22" s="76">
        <f t="shared" si="32"/>
        <v>0</v>
      </c>
      <c r="AR22" s="76">
        <f t="shared" si="32"/>
        <v>0</v>
      </c>
      <c r="AS22" s="76">
        <f t="shared" si="33"/>
        <v>0</v>
      </c>
      <c r="AT22" s="77">
        <f t="shared" si="33"/>
        <v>0</v>
      </c>
      <c r="AU22" s="77">
        <f t="shared" si="33"/>
        <v>0</v>
      </c>
      <c r="AV22" s="77">
        <f t="shared" si="33"/>
        <v>0</v>
      </c>
      <c r="AW22" s="78" t="str">
        <f t="shared" si="33"/>
        <v/>
      </c>
      <c r="AX22" s="78" t="str">
        <f t="shared" si="33"/>
        <v/>
      </c>
      <c r="AY22" s="74" t="str">
        <f t="shared" si="33"/>
        <v/>
      </c>
      <c r="AZ22" s="74" t="str">
        <f t="shared" si="33"/>
        <v/>
      </c>
      <c r="BA22" s="74" t="str">
        <f t="shared" si="33"/>
        <v/>
      </c>
      <c r="BB22" s="74" t="str">
        <f t="shared" si="33"/>
        <v/>
      </c>
      <c r="BC22" s="74" t="str">
        <f t="shared" si="34"/>
        <v/>
      </c>
      <c r="BD22" s="78" t="str">
        <f t="shared" si="34"/>
        <v/>
      </c>
      <c r="BE22" s="78" t="str">
        <f t="shared" si="34"/>
        <v/>
      </c>
      <c r="BF22" s="74" t="str">
        <f t="shared" si="34"/>
        <v/>
      </c>
      <c r="BG22" s="74" t="str">
        <f t="shared" si="34"/>
        <v/>
      </c>
      <c r="BH22" s="74" t="str">
        <f t="shared" si="34"/>
        <v/>
      </c>
      <c r="BI22" s="74" t="str">
        <f t="shared" si="34"/>
        <v/>
      </c>
      <c r="BJ22" s="74" t="str">
        <f t="shared" si="34"/>
        <v/>
      </c>
      <c r="BK22" s="78" t="str">
        <f t="shared" si="34"/>
        <v/>
      </c>
      <c r="BL22" s="78" t="str">
        <f t="shared" si="34"/>
        <v/>
      </c>
      <c r="BM22" s="74" t="str">
        <f t="shared" si="35"/>
        <v/>
      </c>
      <c r="BN22" s="74" t="str">
        <f t="shared" si="35"/>
        <v/>
      </c>
      <c r="BO22" s="74" t="str">
        <f t="shared" si="35"/>
        <v/>
      </c>
      <c r="BP22" s="74" t="str">
        <f t="shared" si="35"/>
        <v/>
      </c>
      <c r="BQ22" s="74" t="str">
        <f t="shared" si="35"/>
        <v/>
      </c>
      <c r="BR22" s="78" t="str">
        <f t="shared" si="35"/>
        <v/>
      </c>
      <c r="BS22" s="78" t="str">
        <f t="shared" si="35"/>
        <v/>
      </c>
      <c r="BT22" s="74" t="str">
        <f t="shared" si="35"/>
        <v/>
      </c>
      <c r="BU22" s="74" t="str">
        <f t="shared" si="35"/>
        <v/>
      </c>
      <c r="BV22" s="74" t="str">
        <f t="shared" si="35"/>
        <v/>
      </c>
      <c r="BW22" s="74" t="str">
        <f t="shared" si="36"/>
        <v/>
      </c>
      <c r="BX22" s="74" t="str">
        <f t="shared" si="36"/>
        <v/>
      </c>
      <c r="BY22" s="78" t="str">
        <f t="shared" si="36"/>
        <v/>
      </c>
      <c r="BZ22" s="78" t="str">
        <f t="shared" si="36"/>
        <v/>
      </c>
      <c r="CA22" s="74" t="str">
        <f t="shared" si="36"/>
        <v/>
      </c>
      <c r="CB22" s="74" t="str">
        <f t="shared" si="36"/>
        <v/>
      </c>
      <c r="CC22" s="74" t="str">
        <f t="shared" si="36"/>
        <v/>
      </c>
      <c r="CD22" s="74" t="str">
        <f t="shared" si="36"/>
        <v/>
      </c>
      <c r="CE22" s="74" t="str">
        <f t="shared" si="36"/>
        <v/>
      </c>
      <c r="CF22" s="78" t="str">
        <f t="shared" si="36"/>
        <v/>
      </c>
      <c r="CG22" s="78" t="str">
        <f t="shared" si="37"/>
        <v/>
      </c>
      <c r="CH22" s="74" t="str">
        <f t="shared" si="37"/>
        <v/>
      </c>
      <c r="CI22" s="74" t="str">
        <f t="shared" si="37"/>
        <v/>
      </c>
      <c r="CJ22" s="74" t="str">
        <f t="shared" si="37"/>
        <v/>
      </c>
      <c r="CK22" s="74" t="str">
        <f t="shared" si="37"/>
        <v/>
      </c>
      <c r="CL22" s="74" t="str">
        <f t="shared" si="37"/>
        <v/>
      </c>
      <c r="CM22" s="78" t="str">
        <f t="shared" si="37"/>
        <v/>
      </c>
      <c r="CN22" s="78" t="str">
        <f t="shared" si="37"/>
        <v/>
      </c>
      <c r="CO22" s="74" t="str">
        <f t="shared" si="37"/>
        <v/>
      </c>
      <c r="CP22" s="74" t="str">
        <f t="shared" si="37"/>
        <v/>
      </c>
      <c r="CQ22" s="74" t="str">
        <f t="shared" si="38"/>
        <v/>
      </c>
      <c r="CR22" s="74" t="str">
        <f t="shared" si="38"/>
        <v/>
      </c>
      <c r="CS22" s="74" t="str">
        <f t="shared" si="38"/>
        <v/>
      </c>
      <c r="CT22" s="78" t="str">
        <f t="shared" si="38"/>
        <v/>
      </c>
      <c r="CU22" s="78" t="str">
        <f t="shared" si="38"/>
        <v/>
      </c>
      <c r="CV22" s="74" t="str">
        <f t="shared" si="38"/>
        <v/>
      </c>
      <c r="CW22" s="74" t="str">
        <f t="shared" si="38"/>
        <v/>
      </c>
      <c r="CX22" s="74" t="str">
        <f t="shared" si="38"/>
        <v/>
      </c>
      <c r="CY22" s="74" t="str">
        <f t="shared" si="38"/>
        <v/>
      </c>
      <c r="CZ22" s="74" t="str">
        <f t="shared" si="38"/>
        <v/>
      </c>
      <c r="DA22" s="78" t="str">
        <f t="shared" si="39"/>
        <v/>
      </c>
      <c r="DB22" s="78" t="str">
        <f t="shared" si="39"/>
        <v/>
      </c>
      <c r="DC22" s="74" t="str">
        <f t="shared" si="39"/>
        <v/>
      </c>
      <c r="DD22" s="74" t="str">
        <f t="shared" si="39"/>
        <v/>
      </c>
      <c r="DE22" s="74" t="str">
        <f t="shared" si="39"/>
        <v/>
      </c>
      <c r="DF22" s="74" t="str">
        <f t="shared" si="39"/>
        <v/>
      </c>
      <c r="DG22" s="74" t="str">
        <f t="shared" si="39"/>
        <v/>
      </c>
      <c r="DH22" s="78" t="str">
        <f t="shared" si="39"/>
        <v/>
      </c>
      <c r="DI22" s="78" t="str">
        <f t="shared" si="39"/>
        <v/>
      </c>
      <c r="DJ22" s="74" t="str">
        <f t="shared" si="39"/>
        <v/>
      </c>
      <c r="DK22" s="74" t="str">
        <f t="shared" si="40"/>
        <v/>
      </c>
      <c r="DL22" s="74" t="str">
        <f t="shared" si="40"/>
        <v/>
      </c>
      <c r="DM22" s="74" t="str">
        <f t="shared" si="40"/>
        <v/>
      </c>
      <c r="DN22" s="74" t="str">
        <f t="shared" si="40"/>
        <v/>
      </c>
      <c r="DO22" s="78" t="str">
        <f t="shared" si="40"/>
        <v/>
      </c>
      <c r="DP22" s="78" t="str">
        <f t="shared" si="40"/>
        <v/>
      </c>
      <c r="DQ22" s="74" t="str">
        <f t="shared" si="40"/>
        <v/>
      </c>
      <c r="DR22" s="74" t="str">
        <f t="shared" si="40"/>
        <v/>
      </c>
      <c r="DS22" s="74" t="str">
        <f t="shared" si="40"/>
        <v/>
      </c>
      <c r="DT22" s="74" t="str">
        <f t="shared" si="40"/>
        <v/>
      </c>
      <c r="DU22" s="74" t="str">
        <f t="shared" si="41"/>
        <v/>
      </c>
      <c r="DV22" s="78" t="str">
        <f t="shared" si="41"/>
        <v/>
      </c>
      <c r="DW22" s="78" t="str">
        <f t="shared" si="41"/>
        <v/>
      </c>
      <c r="DX22" s="74" t="str">
        <f t="shared" si="41"/>
        <v/>
      </c>
      <c r="DY22" s="74" t="str">
        <f t="shared" si="41"/>
        <v/>
      </c>
      <c r="DZ22" s="74" t="str">
        <f t="shared" si="41"/>
        <v/>
      </c>
      <c r="EA22" s="74" t="str">
        <f t="shared" si="41"/>
        <v/>
      </c>
      <c r="EB22" s="74" t="str">
        <f t="shared" si="41"/>
        <v/>
      </c>
      <c r="EC22" s="78" t="str">
        <f t="shared" si="41"/>
        <v/>
      </c>
      <c r="ED22" s="78" t="str">
        <f t="shared" si="41"/>
        <v/>
      </c>
      <c r="EE22" s="74" t="str">
        <f t="shared" si="42"/>
        <v/>
      </c>
      <c r="EF22" s="74" t="str">
        <f t="shared" si="42"/>
        <v/>
      </c>
      <c r="EG22" s="74" t="str">
        <f t="shared" si="42"/>
        <v/>
      </c>
      <c r="EH22" s="74" t="str">
        <f t="shared" si="42"/>
        <v/>
      </c>
      <c r="EI22" s="74" t="str">
        <f t="shared" si="42"/>
        <v/>
      </c>
      <c r="EJ22" s="78" t="str">
        <f t="shared" si="42"/>
        <v/>
      </c>
      <c r="EK22" s="78" t="str">
        <f t="shared" si="42"/>
        <v/>
      </c>
      <c r="EL22" s="74" t="str">
        <f t="shared" si="42"/>
        <v/>
      </c>
      <c r="EM22" s="74" t="str">
        <f t="shared" si="42"/>
        <v/>
      </c>
      <c r="EN22" s="74" t="str">
        <f t="shared" si="42"/>
        <v/>
      </c>
      <c r="EO22" s="74" t="str">
        <f t="shared" si="43"/>
        <v/>
      </c>
      <c r="EP22" s="74" t="str">
        <f t="shared" si="43"/>
        <v/>
      </c>
      <c r="EQ22" s="78" t="str">
        <f t="shared" si="43"/>
        <v/>
      </c>
      <c r="ER22" s="78" t="str">
        <f t="shared" si="43"/>
        <v/>
      </c>
      <c r="ES22" s="74" t="str">
        <f t="shared" si="43"/>
        <v/>
      </c>
      <c r="ET22" s="74" t="str">
        <f t="shared" si="43"/>
        <v/>
      </c>
      <c r="EU22" s="74" t="str">
        <f t="shared" si="43"/>
        <v/>
      </c>
      <c r="EV22" s="74" t="str">
        <f t="shared" si="43"/>
        <v/>
      </c>
      <c r="EW22" s="74" t="str">
        <f t="shared" si="43"/>
        <v/>
      </c>
      <c r="EX22" s="78" t="str">
        <f t="shared" si="43"/>
        <v/>
      </c>
      <c r="EY22" s="78" t="str">
        <f t="shared" si="44"/>
        <v/>
      </c>
      <c r="EZ22" s="74" t="str">
        <f t="shared" si="44"/>
        <v/>
      </c>
      <c r="FA22" s="74" t="str">
        <f t="shared" si="44"/>
        <v/>
      </c>
      <c r="FB22" s="74" t="str">
        <f t="shared" si="44"/>
        <v/>
      </c>
      <c r="FC22" s="74" t="str">
        <f t="shared" si="44"/>
        <v/>
      </c>
      <c r="FD22" s="74" t="str">
        <f t="shared" si="44"/>
        <v/>
      </c>
      <c r="FE22" s="78" t="str">
        <f t="shared" si="44"/>
        <v/>
      </c>
      <c r="FF22" s="78" t="str">
        <f t="shared" si="44"/>
        <v/>
      </c>
      <c r="FG22" s="74" t="str">
        <f t="shared" si="44"/>
        <v/>
      </c>
      <c r="FH22" s="74" t="str">
        <f t="shared" si="44"/>
        <v/>
      </c>
      <c r="FI22" s="74" t="str">
        <f t="shared" si="45"/>
        <v/>
      </c>
      <c r="FJ22" s="74" t="str">
        <f t="shared" si="45"/>
        <v/>
      </c>
      <c r="FK22" s="74" t="str">
        <f t="shared" si="45"/>
        <v/>
      </c>
      <c r="FL22" s="78" t="str">
        <f t="shared" si="45"/>
        <v/>
      </c>
      <c r="FM22" s="78" t="str">
        <f t="shared" si="45"/>
        <v/>
      </c>
      <c r="FN22" s="74" t="str">
        <f t="shared" si="45"/>
        <v/>
      </c>
      <c r="FO22" s="74" t="str">
        <f t="shared" si="45"/>
        <v/>
      </c>
      <c r="FP22" s="74" t="str">
        <f t="shared" si="45"/>
        <v/>
      </c>
      <c r="FQ22" s="74" t="str">
        <f t="shared" si="45"/>
        <v/>
      </c>
      <c r="FR22" s="74" t="str">
        <f t="shared" si="45"/>
        <v/>
      </c>
      <c r="FS22" s="78" t="str">
        <f t="shared" si="46"/>
        <v/>
      </c>
      <c r="FT22" s="78" t="str">
        <f t="shared" si="46"/>
        <v/>
      </c>
      <c r="FU22" s="74" t="str">
        <f t="shared" si="46"/>
        <v/>
      </c>
      <c r="FV22" s="74" t="str">
        <f t="shared" si="46"/>
        <v/>
      </c>
      <c r="FW22" s="74" t="str">
        <f t="shared" si="46"/>
        <v/>
      </c>
      <c r="FX22" s="74" t="str">
        <f t="shared" si="46"/>
        <v/>
      </c>
      <c r="FY22" s="74" t="str">
        <f t="shared" si="46"/>
        <v/>
      </c>
      <c r="FZ22" s="78" t="str">
        <f t="shared" si="46"/>
        <v/>
      </c>
      <c r="GA22" s="78" t="str">
        <f t="shared" si="46"/>
        <v/>
      </c>
      <c r="GB22" s="74" t="str">
        <f t="shared" si="46"/>
        <v/>
      </c>
      <c r="GC22" s="74" t="str">
        <f t="shared" si="47"/>
        <v/>
      </c>
      <c r="GD22" s="74" t="str">
        <f t="shared" si="47"/>
        <v/>
      </c>
      <c r="GE22" s="74" t="str">
        <f t="shared" si="47"/>
        <v/>
      </c>
      <c r="GF22" s="74" t="str">
        <f t="shared" si="47"/>
        <v/>
      </c>
      <c r="GG22" s="78" t="str">
        <f t="shared" si="47"/>
        <v/>
      </c>
      <c r="GH22" s="78" t="str">
        <f t="shared" si="47"/>
        <v/>
      </c>
      <c r="GI22" s="74" t="str">
        <f t="shared" si="47"/>
        <v/>
      </c>
      <c r="GJ22" s="74" t="str">
        <f t="shared" si="47"/>
        <v/>
      </c>
      <c r="GK22" s="74" t="str">
        <f t="shared" si="47"/>
        <v/>
      </c>
      <c r="GL22" s="74" t="str">
        <f t="shared" si="47"/>
        <v/>
      </c>
      <c r="GM22" s="74" t="str">
        <f t="shared" si="48"/>
        <v/>
      </c>
      <c r="GN22" s="78" t="str">
        <f t="shared" si="48"/>
        <v/>
      </c>
      <c r="GO22" s="78" t="str">
        <f t="shared" si="48"/>
        <v/>
      </c>
      <c r="GP22" s="74" t="str">
        <f t="shared" si="48"/>
        <v/>
      </c>
      <c r="GQ22" s="74" t="str">
        <f t="shared" si="48"/>
        <v/>
      </c>
      <c r="GR22" s="74" t="str">
        <f t="shared" si="48"/>
        <v/>
      </c>
      <c r="GS22" s="74" t="str">
        <f t="shared" si="48"/>
        <v/>
      </c>
      <c r="GT22" s="74" t="str">
        <f t="shared" si="48"/>
        <v/>
      </c>
      <c r="GU22" s="78" t="str">
        <f t="shared" si="48"/>
        <v/>
      </c>
      <c r="GV22" s="78" t="str">
        <f t="shared" si="48"/>
        <v/>
      </c>
      <c r="GW22" s="74" t="str">
        <f t="shared" si="49"/>
        <v/>
      </c>
      <c r="GX22" s="74" t="str">
        <f t="shared" si="49"/>
        <v/>
      </c>
      <c r="GY22" s="74" t="str">
        <f t="shared" si="49"/>
        <v/>
      </c>
      <c r="GZ22" s="74" t="str">
        <f t="shared" si="49"/>
        <v/>
      </c>
      <c r="HA22" s="74" t="str">
        <f t="shared" si="49"/>
        <v/>
      </c>
      <c r="HB22" s="78" t="str">
        <f t="shared" si="49"/>
        <v/>
      </c>
      <c r="HC22" s="78" t="str">
        <f t="shared" si="49"/>
        <v/>
      </c>
      <c r="HD22" s="74" t="str">
        <f t="shared" si="49"/>
        <v/>
      </c>
      <c r="HE22" s="74" t="str">
        <f t="shared" si="49"/>
        <v/>
      </c>
      <c r="HF22" s="74" t="str">
        <f t="shared" si="49"/>
        <v/>
      </c>
      <c r="HG22" s="74" t="str">
        <f t="shared" si="49"/>
        <v/>
      </c>
      <c r="HH22" s="74" t="str">
        <f t="shared" si="49"/>
        <v/>
      </c>
    </row>
    <row r="23" spans="1:216" x14ac:dyDescent="0.2">
      <c r="A23" s="82" t="str">
        <f>'FY1 Event Pipeline'!A6</f>
        <v>MOTN DHA</v>
      </c>
      <c r="B23" s="83">
        <f>_xlfn.XLOOKUP(A23,'FY1 Event Pipeline'!$A$4:$A$15,'FY1 Event Pipeline'!$H$4:$H$15)</f>
        <v>46330</v>
      </c>
      <c r="C23" s="83">
        <f>_xlfn.XLOOKUP(A23,'FY1 Event Pipeline'!$A$4:$A$15,'FY1 Event Pipeline'!$J$4:$J$15)</f>
        <v>46352</v>
      </c>
      <c r="D23" s="84">
        <f>_xlfn.XLOOKUP(A23,'FY1 Event Pipeline'!$A$4:$A$15,'FY1 Event Pipeline'!$O$4:$O$15)</f>
        <v>6</v>
      </c>
      <c r="E23" s="74" t="str">
        <f t="shared" si="29"/>
        <v/>
      </c>
      <c r="F23" s="74" t="str">
        <f t="shared" si="29"/>
        <v/>
      </c>
      <c r="G23" s="78" t="str">
        <f t="shared" si="29"/>
        <v/>
      </c>
      <c r="H23" s="78" t="str">
        <f t="shared" si="29"/>
        <v/>
      </c>
      <c r="I23" s="74" t="str">
        <f t="shared" si="29"/>
        <v/>
      </c>
      <c r="J23" s="74" t="str">
        <f t="shared" si="29"/>
        <v/>
      </c>
      <c r="K23" s="74" t="str">
        <f t="shared" si="29"/>
        <v/>
      </c>
      <c r="L23" s="74" t="str">
        <f t="shared" si="29"/>
        <v/>
      </c>
      <c r="M23" s="74" t="str">
        <f t="shared" si="29"/>
        <v/>
      </c>
      <c r="N23" s="78" t="str">
        <f t="shared" si="29"/>
        <v/>
      </c>
      <c r="O23" s="78" t="str">
        <f t="shared" si="30"/>
        <v/>
      </c>
      <c r="P23" s="74" t="str">
        <f t="shared" si="30"/>
        <v/>
      </c>
      <c r="Q23" s="74" t="str">
        <f t="shared" si="30"/>
        <v/>
      </c>
      <c r="R23" s="74" t="str">
        <f t="shared" si="30"/>
        <v/>
      </c>
      <c r="S23" s="74" t="str">
        <f t="shared" si="30"/>
        <v/>
      </c>
      <c r="T23" s="74" t="str">
        <f t="shared" si="30"/>
        <v/>
      </c>
      <c r="U23" s="78" t="str">
        <f t="shared" si="30"/>
        <v/>
      </c>
      <c r="V23" s="78" t="str">
        <f t="shared" si="30"/>
        <v/>
      </c>
      <c r="W23" s="74" t="str">
        <f t="shared" si="30"/>
        <v/>
      </c>
      <c r="X23" s="74" t="str">
        <f t="shared" si="30"/>
        <v/>
      </c>
      <c r="Y23" s="74" t="str">
        <f t="shared" si="31"/>
        <v/>
      </c>
      <c r="Z23" s="74" t="str">
        <f t="shared" si="31"/>
        <v/>
      </c>
      <c r="AA23" s="74" t="str">
        <f t="shared" si="31"/>
        <v/>
      </c>
      <c r="AB23" s="78" t="str">
        <f t="shared" si="31"/>
        <v/>
      </c>
      <c r="AC23" s="78" t="str">
        <f t="shared" si="31"/>
        <v/>
      </c>
      <c r="AD23" s="74" t="str">
        <f t="shared" si="31"/>
        <v/>
      </c>
      <c r="AE23" s="74" t="str">
        <f t="shared" si="31"/>
        <v/>
      </c>
      <c r="AF23" s="74" t="str">
        <f t="shared" si="31"/>
        <v/>
      </c>
      <c r="AG23" s="74" t="str">
        <f t="shared" si="31"/>
        <v/>
      </c>
      <c r="AH23" s="74" t="str">
        <f t="shared" si="31"/>
        <v/>
      </c>
      <c r="AI23" s="78" t="str">
        <f t="shared" si="32"/>
        <v/>
      </c>
      <c r="AJ23" s="78" t="str">
        <f t="shared" si="32"/>
        <v/>
      </c>
      <c r="AK23" s="74" t="str">
        <f t="shared" si="32"/>
        <v/>
      </c>
      <c r="AL23" s="74" t="str">
        <f t="shared" si="32"/>
        <v/>
      </c>
      <c r="AM23" s="75">
        <f t="shared" si="32"/>
        <v>6</v>
      </c>
      <c r="AN23" s="75">
        <f t="shared" si="32"/>
        <v>6</v>
      </c>
      <c r="AO23" s="75">
        <f t="shared" si="32"/>
        <v>6</v>
      </c>
      <c r="AP23" s="75">
        <f t="shared" si="32"/>
        <v>6</v>
      </c>
      <c r="AQ23" s="75">
        <f t="shared" si="32"/>
        <v>6</v>
      </c>
      <c r="AR23" s="75">
        <f t="shared" si="32"/>
        <v>6</v>
      </c>
      <c r="AS23" s="75">
        <f t="shared" si="33"/>
        <v>6</v>
      </c>
      <c r="AT23" s="75">
        <f t="shared" si="33"/>
        <v>6</v>
      </c>
      <c r="AU23" s="75">
        <f t="shared" si="33"/>
        <v>6</v>
      </c>
      <c r="AV23" s="75">
        <f t="shared" si="33"/>
        <v>6</v>
      </c>
      <c r="AW23" s="75">
        <f t="shared" si="33"/>
        <v>6</v>
      </c>
      <c r="AX23" s="75">
        <f t="shared" si="33"/>
        <v>6</v>
      </c>
      <c r="AY23" s="75">
        <f t="shared" si="33"/>
        <v>6</v>
      </c>
      <c r="AZ23" s="75">
        <f t="shared" si="33"/>
        <v>6</v>
      </c>
      <c r="BA23" s="76">
        <f t="shared" si="33"/>
        <v>6</v>
      </c>
      <c r="BB23" s="76">
        <f t="shared" si="33"/>
        <v>6</v>
      </c>
      <c r="BC23" s="76">
        <f t="shared" si="34"/>
        <v>6</v>
      </c>
      <c r="BD23" s="76">
        <f t="shared" si="34"/>
        <v>6</v>
      </c>
      <c r="BE23" s="76">
        <f t="shared" si="34"/>
        <v>6</v>
      </c>
      <c r="BF23" s="76">
        <f t="shared" si="34"/>
        <v>6</v>
      </c>
      <c r="BG23" s="77">
        <f t="shared" si="34"/>
        <v>6</v>
      </c>
      <c r="BH23" s="77">
        <f t="shared" si="34"/>
        <v>6</v>
      </c>
      <c r="BI23" s="77">
        <f t="shared" si="34"/>
        <v>6</v>
      </c>
      <c r="BJ23" s="74" t="str">
        <f t="shared" si="34"/>
        <v/>
      </c>
      <c r="BK23" s="78" t="str">
        <f t="shared" si="34"/>
        <v/>
      </c>
      <c r="BL23" s="78" t="str">
        <f t="shared" si="34"/>
        <v/>
      </c>
      <c r="BM23" s="74" t="str">
        <f t="shared" si="35"/>
        <v/>
      </c>
      <c r="BN23" s="74" t="str">
        <f t="shared" si="35"/>
        <v/>
      </c>
      <c r="BO23" s="74" t="str">
        <f t="shared" si="35"/>
        <v/>
      </c>
      <c r="BP23" s="74" t="str">
        <f t="shared" si="35"/>
        <v/>
      </c>
      <c r="BQ23" s="74" t="str">
        <f t="shared" si="35"/>
        <v/>
      </c>
      <c r="BR23" s="78" t="str">
        <f t="shared" si="35"/>
        <v/>
      </c>
      <c r="BS23" s="78" t="str">
        <f t="shared" si="35"/>
        <v/>
      </c>
      <c r="BT23" s="74" t="str">
        <f t="shared" si="35"/>
        <v/>
      </c>
      <c r="BU23" s="74" t="str">
        <f t="shared" si="35"/>
        <v/>
      </c>
      <c r="BV23" s="74" t="str">
        <f t="shared" si="35"/>
        <v/>
      </c>
      <c r="BW23" s="74" t="str">
        <f t="shared" si="36"/>
        <v/>
      </c>
      <c r="BX23" s="74" t="str">
        <f t="shared" si="36"/>
        <v/>
      </c>
      <c r="BY23" s="78" t="str">
        <f t="shared" si="36"/>
        <v/>
      </c>
      <c r="BZ23" s="78" t="str">
        <f t="shared" si="36"/>
        <v/>
      </c>
      <c r="CA23" s="74" t="str">
        <f t="shared" si="36"/>
        <v/>
      </c>
      <c r="CB23" s="74" t="str">
        <f t="shared" si="36"/>
        <v/>
      </c>
      <c r="CC23" s="74" t="str">
        <f t="shared" si="36"/>
        <v/>
      </c>
      <c r="CD23" s="74" t="str">
        <f t="shared" si="36"/>
        <v/>
      </c>
      <c r="CE23" s="74" t="str">
        <f t="shared" si="36"/>
        <v/>
      </c>
      <c r="CF23" s="78" t="str">
        <f t="shared" si="36"/>
        <v/>
      </c>
      <c r="CG23" s="78" t="str">
        <f t="shared" si="37"/>
        <v/>
      </c>
      <c r="CH23" s="74" t="str">
        <f t="shared" si="37"/>
        <v/>
      </c>
      <c r="CI23" s="74" t="str">
        <f t="shared" si="37"/>
        <v/>
      </c>
      <c r="CJ23" s="74" t="str">
        <f t="shared" si="37"/>
        <v/>
      </c>
      <c r="CK23" s="74" t="str">
        <f t="shared" si="37"/>
        <v/>
      </c>
      <c r="CL23" s="74" t="str">
        <f t="shared" si="37"/>
        <v/>
      </c>
      <c r="CM23" s="78" t="str">
        <f t="shared" si="37"/>
        <v/>
      </c>
      <c r="CN23" s="78" t="str">
        <f t="shared" si="37"/>
        <v/>
      </c>
      <c r="CO23" s="74" t="str">
        <f t="shared" si="37"/>
        <v/>
      </c>
      <c r="CP23" s="74" t="str">
        <f t="shared" si="37"/>
        <v/>
      </c>
      <c r="CQ23" s="74" t="str">
        <f t="shared" si="38"/>
        <v/>
      </c>
      <c r="CR23" s="74" t="str">
        <f t="shared" si="38"/>
        <v/>
      </c>
      <c r="CS23" s="74" t="str">
        <f t="shared" si="38"/>
        <v/>
      </c>
      <c r="CT23" s="78" t="str">
        <f t="shared" si="38"/>
        <v/>
      </c>
      <c r="CU23" s="78" t="str">
        <f t="shared" si="38"/>
        <v/>
      </c>
      <c r="CV23" s="74" t="str">
        <f t="shared" si="38"/>
        <v/>
      </c>
      <c r="CW23" s="74" t="str">
        <f t="shared" si="38"/>
        <v/>
      </c>
      <c r="CX23" s="74" t="str">
        <f t="shared" si="38"/>
        <v/>
      </c>
      <c r="CY23" s="74" t="str">
        <f t="shared" si="38"/>
        <v/>
      </c>
      <c r="CZ23" s="74" t="str">
        <f t="shared" si="38"/>
        <v/>
      </c>
      <c r="DA23" s="78" t="str">
        <f t="shared" si="39"/>
        <v/>
      </c>
      <c r="DB23" s="78" t="str">
        <f t="shared" si="39"/>
        <v/>
      </c>
      <c r="DC23" s="74" t="str">
        <f t="shared" si="39"/>
        <v/>
      </c>
      <c r="DD23" s="74" t="str">
        <f t="shared" si="39"/>
        <v/>
      </c>
      <c r="DE23" s="74" t="str">
        <f t="shared" si="39"/>
        <v/>
      </c>
      <c r="DF23" s="74" t="str">
        <f t="shared" si="39"/>
        <v/>
      </c>
      <c r="DG23" s="74" t="str">
        <f t="shared" si="39"/>
        <v/>
      </c>
      <c r="DH23" s="78" t="str">
        <f t="shared" si="39"/>
        <v/>
      </c>
      <c r="DI23" s="78" t="str">
        <f t="shared" si="39"/>
        <v/>
      </c>
      <c r="DJ23" s="74" t="str">
        <f t="shared" si="39"/>
        <v/>
      </c>
      <c r="DK23" s="74" t="str">
        <f t="shared" si="40"/>
        <v/>
      </c>
      <c r="DL23" s="74" t="str">
        <f t="shared" si="40"/>
        <v/>
      </c>
      <c r="DM23" s="74" t="str">
        <f t="shared" si="40"/>
        <v/>
      </c>
      <c r="DN23" s="74" t="str">
        <f t="shared" si="40"/>
        <v/>
      </c>
      <c r="DO23" s="78" t="str">
        <f t="shared" si="40"/>
        <v/>
      </c>
      <c r="DP23" s="78" t="str">
        <f t="shared" si="40"/>
        <v/>
      </c>
      <c r="DQ23" s="74" t="str">
        <f t="shared" si="40"/>
        <v/>
      </c>
      <c r="DR23" s="74" t="str">
        <f t="shared" si="40"/>
        <v/>
      </c>
      <c r="DS23" s="74" t="str">
        <f t="shared" si="40"/>
        <v/>
      </c>
      <c r="DT23" s="74" t="str">
        <f t="shared" si="40"/>
        <v/>
      </c>
      <c r="DU23" s="74" t="str">
        <f t="shared" si="41"/>
        <v/>
      </c>
      <c r="DV23" s="78" t="str">
        <f t="shared" si="41"/>
        <v/>
      </c>
      <c r="DW23" s="78" t="str">
        <f t="shared" si="41"/>
        <v/>
      </c>
      <c r="DX23" s="74" t="str">
        <f t="shared" si="41"/>
        <v/>
      </c>
      <c r="DY23" s="74" t="str">
        <f t="shared" si="41"/>
        <v/>
      </c>
      <c r="DZ23" s="74" t="str">
        <f t="shared" si="41"/>
        <v/>
      </c>
      <c r="EA23" s="74" t="str">
        <f t="shared" si="41"/>
        <v/>
      </c>
      <c r="EB23" s="74" t="str">
        <f t="shared" si="41"/>
        <v/>
      </c>
      <c r="EC23" s="78" t="str">
        <f t="shared" si="41"/>
        <v/>
      </c>
      <c r="ED23" s="78" t="str">
        <f t="shared" si="41"/>
        <v/>
      </c>
      <c r="EE23" s="74" t="str">
        <f t="shared" si="42"/>
        <v/>
      </c>
      <c r="EF23" s="74" t="str">
        <f t="shared" si="42"/>
        <v/>
      </c>
      <c r="EG23" s="74" t="str">
        <f t="shared" si="42"/>
        <v/>
      </c>
      <c r="EH23" s="74" t="str">
        <f t="shared" si="42"/>
        <v/>
      </c>
      <c r="EI23" s="74" t="str">
        <f t="shared" si="42"/>
        <v/>
      </c>
      <c r="EJ23" s="78" t="str">
        <f t="shared" si="42"/>
        <v/>
      </c>
      <c r="EK23" s="78" t="str">
        <f t="shared" si="42"/>
        <v/>
      </c>
      <c r="EL23" s="74" t="str">
        <f t="shared" si="42"/>
        <v/>
      </c>
      <c r="EM23" s="74" t="str">
        <f t="shared" si="42"/>
        <v/>
      </c>
      <c r="EN23" s="74" t="str">
        <f t="shared" si="42"/>
        <v/>
      </c>
      <c r="EO23" s="74" t="str">
        <f t="shared" si="43"/>
        <v/>
      </c>
      <c r="EP23" s="74" t="str">
        <f t="shared" si="43"/>
        <v/>
      </c>
      <c r="EQ23" s="78" t="str">
        <f t="shared" si="43"/>
        <v/>
      </c>
      <c r="ER23" s="78" t="str">
        <f t="shared" si="43"/>
        <v/>
      </c>
      <c r="ES23" s="74" t="str">
        <f t="shared" si="43"/>
        <v/>
      </c>
      <c r="ET23" s="74" t="str">
        <f t="shared" si="43"/>
        <v/>
      </c>
      <c r="EU23" s="74" t="str">
        <f t="shared" si="43"/>
        <v/>
      </c>
      <c r="EV23" s="74" t="str">
        <f t="shared" si="43"/>
        <v/>
      </c>
      <c r="EW23" s="74" t="str">
        <f t="shared" si="43"/>
        <v/>
      </c>
      <c r="EX23" s="78" t="str">
        <f t="shared" si="43"/>
        <v/>
      </c>
      <c r="EY23" s="78" t="str">
        <f t="shared" si="44"/>
        <v/>
      </c>
      <c r="EZ23" s="74" t="str">
        <f t="shared" si="44"/>
        <v/>
      </c>
      <c r="FA23" s="74" t="str">
        <f t="shared" si="44"/>
        <v/>
      </c>
      <c r="FB23" s="74" t="str">
        <f t="shared" si="44"/>
        <v/>
      </c>
      <c r="FC23" s="74" t="str">
        <f t="shared" si="44"/>
        <v/>
      </c>
      <c r="FD23" s="74" t="str">
        <f t="shared" si="44"/>
        <v/>
      </c>
      <c r="FE23" s="78" t="str">
        <f t="shared" si="44"/>
        <v/>
      </c>
      <c r="FF23" s="78" t="str">
        <f t="shared" si="44"/>
        <v/>
      </c>
      <c r="FG23" s="74" t="str">
        <f t="shared" si="44"/>
        <v/>
      </c>
      <c r="FH23" s="74" t="str">
        <f t="shared" si="44"/>
        <v/>
      </c>
      <c r="FI23" s="74" t="str">
        <f t="shared" si="45"/>
        <v/>
      </c>
      <c r="FJ23" s="74" t="str">
        <f t="shared" si="45"/>
        <v/>
      </c>
      <c r="FK23" s="74" t="str">
        <f t="shared" si="45"/>
        <v/>
      </c>
      <c r="FL23" s="78" t="str">
        <f t="shared" si="45"/>
        <v/>
      </c>
      <c r="FM23" s="78" t="str">
        <f t="shared" si="45"/>
        <v/>
      </c>
      <c r="FN23" s="74" t="str">
        <f t="shared" si="45"/>
        <v/>
      </c>
      <c r="FO23" s="74" t="str">
        <f t="shared" si="45"/>
        <v/>
      </c>
      <c r="FP23" s="74" t="str">
        <f t="shared" si="45"/>
        <v/>
      </c>
      <c r="FQ23" s="74" t="str">
        <f t="shared" si="45"/>
        <v/>
      </c>
      <c r="FR23" s="74" t="str">
        <f t="shared" si="45"/>
        <v/>
      </c>
      <c r="FS23" s="78" t="str">
        <f t="shared" si="46"/>
        <v/>
      </c>
      <c r="FT23" s="78" t="str">
        <f t="shared" si="46"/>
        <v/>
      </c>
      <c r="FU23" s="74" t="str">
        <f t="shared" si="46"/>
        <v/>
      </c>
      <c r="FV23" s="74" t="str">
        <f t="shared" si="46"/>
        <v/>
      </c>
      <c r="FW23" s="74" t="str">
        <f t="shared" si="46"/>
        <v/>
      </c>
      <c r="FX23" s="74" t="str">
        <f t="shared" si="46"/>
        <v/>
      </c>
      <c r="FY23" s="74" t="str">
        <f t="shared" si="46"/>
        <v/>
      </c>
      <c r="FZ23" s="78" t="str">
        <f t="shared" si="46"/>
        <v/>
      </c>
      <c r="GA23" s="78" t="str">
        <f t="shared" si="46"/>
        <v/>
      </c>
      <c r="GB23" s="74" t="str">
        <f t="shared" si="46"/>
        <v/>
      </c>
      <c r="GC23" s="74" t="str">
        <f t="shared" si="47"/>
        <v/>
      </c>
      <c r="GD23" s="74" t="str">
        <f t="shared" si="47"/>
        <v/>
      </c>
      <c r="GE23" s="74" t="str">
        <f t="shared" si="47"/>
        <v/>
      </c>
      <c r="GF23" s="74" t="str">
        <f t="shared" si="47"/>
        <v/>
      </c>
      <c r="GG23" s="78" t="str">
        <f t="shared" si="47"/>
        <v/>
      </c>
      <c r="GH23" s="78" t="str">
        <f t="shared" si="47"/>
        <v/>
      </c>
      <c r="GI23" s="74" t="str">
        <f t="shared" si="47"/>
        <v/>
      </c>
      <c r="GJ23" s="74" t="str">
        <f t="shared" si="47"/>
        <v/>
      </c>
      <c r="GK23" s="74" t="str">
        <f t="shared" si="47"/>
        <v/>
      </c>
      <c r="GL23" s="74" t="str">
        <f t="shared" si="47"/>
        <v/>
      </c>
      <c r="GM23" s="74" t="str">
        <f t="shared" si="48"/>
        <v/>
      </c>
      <c r="GN23" s="78" t="str">
        <f t="shared" si="48"/>
        <v/>
      </c>
      <c r="GO23" s="78" t="str">
        <f t="shared" si="48"/>
        <v/>
      </c>
      <c r="GP23" s="74" t="str">
        <f t="shared" si="48"/>
        <v/>
      </c>
      <c r="GQ23" s="74" t="str">
        <f t="shared" si="48"/>
        <v/>
      </c>
      <c r="GR23" s="74" t="str">
        <f t="shared" si="48"/>
        <v/>
      </c>
      <c r="GS23" s="74" t="str">
        <f t="shared" si="48"/>
        <v/>
      </c>
      <c r="GT23" s="74" t="str">
        <f t="shared" si="48"/>
        <v/>
      </c>
      <c r="GU23" s="78" t="str">
        <f t="shared" si="48"/>
        <v/>
      </c>
      <c r="GV23" s="78" t="str">
        <f t="shared" si="48"/>
        <v/>
      </c>
      <c r="GW23" s="74" t="str">
        <f t="shared" si="49"/>
        <v/>
      </c>
      <c r="GX23" s="74" t="str">
        <f t="shared" si="49"/>
        <v/>
      </c>
      <c r="GY23" s="74" t="str">
        <f t="shared" si="49"/>
        <v/>
      </c>
      <c r="GZ23" s="74" t="str">
        <f t="shared" si="49"/>
        <v/>
      </c>
      <c r="HA23" s="74" t="str">
        <f t="shared" si="49"/>
        <v/>
      </c>
      <c r="HB23" s="78" t="str">
        <f t="shared" si="49"/>
        <v/>
      </c>
      <c r="HC23" s="78" t="str">
        <f t="shared" si="49"/>
        <v/>
      </c>
      <c r="HD23" s="74" t="str">
        <f t="shared" si="49"/>
        <v/>
      </c>
      <c r="HE23" s="74" t="str">
        <f t="shared" si="49"/>
        <v/>
      </c>
      <c r="HF23" s="74" t="str">
        <f t="shared" si="49"/>
        <v/>
      </c>
      <c r="HG23" s="74" t="str">
        <f t="shared" si="49"/>
        <v/>
      </c>
      <c r="HH23" s="74" t="str">
        <f t="shared" si="49"/>
        <v/>
      </c>
    </row>
    <row r="24" spans="1:216" x14ac:dyDescent="0.2">
      <c r="A24" s="82" t="str">
        <f>'FY1 Event Pipeline'!A7</f>
        <v>No Art UAE</v>
      </c>
      <c r="B24" s="83">
        <f>_xlfn.XLOOKUP(A24,'FY1 Event Pipeline'!$A$4:$A$15,'FY1 Event Pipeline'!$H$4:$H$15)</f>
        <v>46332</v>
      </c>
      <c r="C24" s="83">
        <f>_xlfn.XLOOKUP(A24,'FY1 Event Pipeline'!$A$4:$A$15,'FY1 Event Pipeline'!$J$4:$J$15)</f>
        <v>46353</v>
      </c>
      <c r="D24" s="84">
        <f>_xlfn.XLOOKUP(A24,'FY1 Event Pipeline'!$A$4:$A$15,'FY1 Event Pipeline'!$O$4:$O$15)</f>
        <v>6</v>
      </c>
      <c r="E24" s="74" t="str">
        <f t="shared" si="29"/>
        <v/>
      </c>
      <c r="F24" s="74" t="str">
        <f t="shared" si="29"/>
        <v/>
      </c>
      <c r="G24" s="78" t="str">
        <f t="shared" si="29"/>
        <v/>
      </c>
      <c r="H24" s="78" t="str">
        <f t="shared" si="29"/>
        <v/>
      </c>
      <c r="I24" s="74" t="str">
        <f t="shared" si="29"/>
        <v/>
      </c>
      <c r="J24" s="74" t="str">
        <f t="shared" si="29"/>
        <v/>
      </c>
      <c r="K24" s="74" t="str">
        <f t="shared" si="29"/>
        <v/>
      </c>
      <c r="L24" s="74" t="str">
        <f t="shared" si="29"/>
        <v/>
      </c>
      <c r="M24" s="74" t="str">
        <f t="shared" si="29"/>
        <v/>
      </c>
      <c r="N24" s="78" t="str">
        <f t="shared" si="29"/>
        <v/>
      </c>
      <c r="O24" s="78" t="str">
        <f t="shared" si="30"/>
        <v/>
      </c>
      <c r="P24" s="74" t="str">
        <f t="shared" si="30"/>
        <v/>
      </c>
      <c r="Q24" s="74" t="str">
        <f t="shared" si="30"/>
        <v/>
      </c>
      <c r="R24" s="74" t="str">
        <f t="shared" si="30"/>
        <v/>
      </c>
      <c r="S24" s="74" t="str">
        <f t="shared" si="30"/>
        <v/>
      </c>
      <c r="T24" s="74" t="str">
        <f t="shared" si="30"/>
        <v/>
      </c>
      <c r="U24" s="78" t="str">
        <f t="shared" si="30"/>
        <v/>
      </c>
      <c r="V24" s="78" t="str">
        <f t="shared" si="30"/>
        <v/>
      </c>
      <c r="W24" s="74" t="str">
        <f t="shared" si="30"/>
        <v/>
      </c>
      <c r="X24" s="74" t="str">
        <f t="shared" si="30"/>
        <v/>
      </c>
      <c r="Y24" s="74" t="str">
        <f t="shared" si="31"/>
        <v/>
      </c>
      <c r="Z24" s="74" t="str">
        <f t="shared" si="31"/>
        <v/>
      </c>
      <c r="AA24" s="74" t="str">
        <f t="shared" si="31"/>
        <v/>
      </c>
      <c r="AB24" s="78" t="str">
        <f t="shared" si="31"/>
        <v/>
      </c>
      <c r="AC24" s="78" t="str">
        <f t="shared" si="31"/>
        <v/>
      </c>
      <c r="AD24" s="74" t="str">
        <f t="shared" si="31"/>
        <v/>
      </c>
      <c r="AE24" s="74" t="str">
        <f t="shared" si="31"/>
        <v/>
      </c>
      <c r="AF24" s="74" t="str">
        <f t="shared" si="31"/>
        <v/>
      </c>
      <c r="AG24" s="74" t="str">
        <f t="shared" si="31"/>
        <v/>
      </c>
      <c r="AH24" s="74" t="str">
        <f t="shared" si="31"/>
        <v/>
      </c>
      <c r="AI24" s="78" t="str">
        <f t="shared" si="32"/>
        <v/>
      </c>
      <c r="AJ24" s="78" t="str">
        <f t="shared" si="32"/>
        <v/>
      </c>
      <c r="AK24" s="74" t="str">
        <f t="shared" si="32"/>
        <v/>
      </c>
      <c r="AL24" s="74" t="str">
        <f t="shared" si="32"/>
        <v/>
      </c>
      <c r="AM24" s="74" t="str">
        <f t="shared" si="32"/>
        <v/>
      </c>
      <c r="AN24" s="74" t="str">
        <f t="shared" si="32"/>
        <v/>
      </c>
      <c r="AO24" s="75">
        <f t="shared" si="32"/>
        <v>6</v>
      </c>
      <c r="AP24" s="75">
        <f t="shared" si="32"/>
        <v>6</v>
      </c>
      <c r="AQ24" s="75">
        <f t="shared" si="32"/>
        <v>6</v>
      </c>
      <c r="AR24" s="75">
        <f t="shared" si="32"/>
        <v>6</v>
      </c>
      <c r="AS24" s="75">
        <f t="shared" si="33"/>
        <v>6</v>
      </c>
      <c r="AT24" s="75">
        <f t="shared" si="33"/>
        <v>6</v>
      </c>
      <c r="AU24" s="75">
        <f t="shared" si="33"/>
        <v>6</v>
      </c>
      <c r="AV24" s="75">
        <f t="shared" si="33"/>
        <v>6</v>
      </c>
      <c r="AW24" s="75">
        <f t="shared" si="33"/>
        <v>6</v>
      </c>
      <c r="AX24" s="75">
        <f t="shared" si="33"/>
        <v>6</v>
      </c>
      <c r="AY24" s="75">
        <f t="shared" si="33"/>
        <v>6</v>
      </c>
      <c r="AZ24" s="75">
        <f t="shared" si="33"/>
        <v>6</v>
      </c>
      <c r="BA24" s="75">
        <f t="shared" si="33"/>
        <v>6</v>
      </c>
      <c r="BB24" s="75">
        <f t="shared" si="33"/>
        <v>6</v>
      </c>
      <c r="BC24" s="76">
        <f t="shared" si="34"/>
        <v>6</v>
      </c>
      <c r="BD24" s="76">
        <f t="shared" si="34"/>
        <v>6</v>
      </c>
      <c r="BE24" s="76">
        <f t="shared" si="34"/>
        <v>6</v>
      </c>
      <c r="BF24" s="76">
        <f t="shared" si="34"/>
        <v>6</v>
      </c>
      <c r="BG24" s="76">
        <f t="shared" si="34"/>
        <v>6</v>
      </c>
      <c r="BH24" s="77">
        <f t="shared" si="34"/>
        <v>6</v>
      </c>
      <c r="BI24" s="77">
        <f t="shared" si="34"/>
        <v>6</v>
      </c>
      <c r="BJ24" s="77">
        <f t="shared" si="34"/>
        <v>6</v>
      </c>
      <c r="BK24" s="78" t="str">
        <f t="shared" si="34"/>
        <v/>
      </c>
      <c r="BL24" s="78" t="str">
        <f t="shared" si="34"/>
        <v/>
      </c>
      <c r="BM24" s="74" t="str">
        <f t="shared" si="35"/>
        <v/>
      </c>
      <c r="BN24" s="74" t="str">
        <f t="shared" si="35"/>
        <v/>
      </c>
      <c r="BO24" s="74" t="str">
        <f t="shared" si="35"/>
        <v/>
      </c>
      <c r="BP24" s="74" t="str">
        <f t="shared" si="35"/>
        <v/>
      </c>
      <c r="BQ24" s="74" t="str">
        <f t="shared" si="35"/>
        <v/>
      </c>
      <c r="BR24" s="78" t="str">
        <f t="shared" si="35"/>
        <v/>
      </c>
      <c r="BS24" s="78" t="str">
        <f t="shared" si="35"/>
        <v/>
      </c>
      <c r="BT24" s="74" t="str">
        <f t="shared" si="35"/>
        <v/>
      </c>
      <c r="BU24" s="74" t="str">
        <f t="shared" si="35"/>
        <v/>
      </c>
      <c r="BV24" s="74" t="str">
        <f t="shared" si="35"/>
        <v/>
      </c>
      <c r="BW24" s="74" t="str">
        <f t="shared" si="36"/>
        <v/>
      </c>
      <c r="BX24" s="74" t="str">
        <f t="shared" si="36"/>
        <v/>
      </c>
      <c r="BY24" s="78" t="str">
        <f t="shared" si="36"/>
        <v/>
      </c>
      <c r="BZ24" s="78" t="str">
        <f t="shared" si="36"/>
        <v/>
      </c>
      <c r="CA24" s="74" t="str">
        <f t="shared" si="36"/>
        <v/>
      </c>
      <c r="CB24" s="74" t="str">
        <f t="shared" si="36"/>
        <v/>
      </c>
      <c r="CC24" s="74" t="str">
        <f t="shared" si="36"/>
        <v/>
      </c>
      <c r="CD24" s="74" t="str">
        <f t="shared" si="36"/>
        <v/>
      </c>
      <c r="CE24" s="74" t="str">
        <f t="shared" si="36"/>
        <v/>
      </c>
      <c r="CF24" s="78" t="str">
        <f t="shared" si="36"/>
        <v/>
      </c>
      <c r="CG24" s="78" t="str">
        <f t="shared" si="37"/>
        <v/>
      </c>
      <c r="CH24" s="74" t="str">
        <f t="shared" si="37"/>
        <v/>
      </c>
      <c r="CI24" s="74" t="str">
        <f t="shared" si="37"/>
        <v/>
      </c>
      <c r="CJ24" s="74" t="str">
        <f t="shared" si="37"/>
        <v/>
      </c>
      <c r="CK24" s="74" t="str">
        <f t="shared" si="37"/>
        <v/>
      </c>
      <c r="CL24" s="74" t="str">
        <f t="shared" si="37"/>
        <v/>
      </c>
      <c r="CM24" s="78" t="str">
        <f t="shared" si="37"/>
        <v/>
      </c>
      <c r="CN24" s="78" t="str">
        <f t="shared" si="37"/>
        <v/>
      </c>
      <c r="CO24" s="74" t="str">
        <f t="shared" si="37"/>
        <v/>
      </c>
      <c r="CP24" s="74" t="str">
        <f t="shared" si="37"/>
        <v/>
      </c>
      <c r="CQ24" s="74" t="str">
        <f t="shared" si="38"/>
        <v/>
      </c>
      <c r="CR24" s="74" t="str">
        <f t="shared" si="38"/>
        <v/>
      </c>
      <c r="CS24" s="74" t="str">
        <f t="shared" si="38"/>
        <v/>
      </c>
      <c r="CT24" s="78" t="str">
        <f t="shared" si="38"/>
        <v/>
      </c>
      <c r="CU24" s="78" t="str">
        <f t="shared" si="38"/>
        <v/>
      </c>
      <c r="CV24" s="74" t="str">
        <f t="shared" si="38"/>
        <v/>
      </c>
      <c r="CW24" s="74" t="str">
        <f t="shared" si="38"/>
        <v/>
      </c>
      <c r="CX24" s="74" t="str">
        <f t="shared" si="38"/>
        <v/>
      </c>
      <c r="CY24" s="74" t="str">
        <f t="shared" si="38"/>
        <v/>
      </c>
      <c r="CZ24" s="74" t="str">
        <f t="shared" si="38"/>
        <v/>
      </c>
      <c r="DA24" s="78" t="str">
        <f t="shared" si="39"/>
        <v/>
      </c>
      <c r="DB24" s="78" t="str">
        <f t="shared" si="39"/>
        <v/>
      </c>
      <c r="DC24" s="74" t="str">
        <f t="shared" si="39"/>
        <v/>
      </c>
      <c r="DD24" s="74" t="str">
        <f t="shared" si="39"/>
        <v/>
      </c>
      <c r="DE24" s="74" t="str">
        <f t="shared" si="39"/>
        <v/>
      </c>
      <c r="DF24" s="74" t="str">
        <f t="shared" si="39"/>
        <v/>
      </c>
      <c r="DG24" s="74" t="str">
        <f t="shared" si="39"/>
        <v/>
      </c>
      <c r="DH24" s="78" t="str">
        <f t="shared" si="39"/>
        <v/>
      </c>
      <c r="DI24" s="78" t="str">
        <f t="shared" si="39"/>
        <v/>
      </c>
      <c r="DJ24" s="74" t="str">
        <f t="shared" si="39"/>
        <v/>
      </c>
      <c r="DK24" s="74" t="str">
        <f t="shared" si="40"/>
        <v/>
      </c>
      <c r="DL24" s="74" t="str">
        <f t="shared" si="40"/>
        <v/>
      </c>
      <c r="DM24" s="74" t="str">
        <f t="shared" si="40"/>
        <v/>
      </c>
      <c r="DN24" s="74" t="str">
        <f t="shared" si="40"/>
        <v/>
      </c>
      <c r="DO24" s="78" t="str">
        <f t="shared" si="40"/>
        <v/>
      </c>
      <c r="DP24" s="78" t="str">
        <f t="shared" si="40"/>
        <v/>
      </c>
      <c r="DQ24" s="74" t="str">
        <f t="shared" si="40"/>
        <v/>
      </c>
      <c r="DR24" s="74" t="str">
        <f t="shared" si="40"/>
        <v/>
      </c>
      <c r="DS24" s="74" t="str">
        <f t="shared" si="40"/>
        <v/>
      </c>
      <c r="DT24" s="74" t="str">
        <f t="shared" si="40"/>
        <v/>
      </c>
      <c r="DU24" s="74" t="str">
        <f t="shared" si="41"/>
        <v/>
      </c>
      <c r="DV24" s="78" t="str">
        <f t="shared" si="41"/>
        <v/>
      </c>
      <c r="DW24" s="78" t="str">
        <f t="shared" si="41"/>
        <v/>
      </c>
      <c r="DX24" s="74" t="str">
        <f t="shared" si="41"/>
        <v/>
      </c>
      <c r="DY24" s="74" t="str">
        <f t="shared" si="41"/>
        <v/>
      </c>
      <c r="DZ24" s="74" t="str">
        <f t="shared" si="41"/>
        <v/>
      </c>
      <c r="EA24" s="74" t="str">
        <f t="shared" si="41"/>
        <v/>
      </c>
      <c r="EB24" s="74" t="str">
        <f t="shared" si="41"/>
        <v/>
      </c>
      <c r="EC24" s="78" t="str">
        <f t="shared" si="41"/>
        <v/>
      </c>
      <c r="ED24" s="78" t="str">
        <f t="shared" si="41"/>
        <v/>
      </c>
      <c r="EE24" s="74" t="str">
        <f t="shared" si="42"/>
        <v/>
      </c>
      <c r="EF24" s="74" t="str">
        <f t="shared" si="42"/>
        <v/>
      </c>
      <c r="EG24" s="74" t="str">
        <f t="shared" si="42"/>
        <v/>
      </c>
      <c r="EH24" s="74" t="str">
        <f t="shared" si="42"/>
        <v/>
      </c>
      <c r="EI24" s="74" t="str">
        <f t="shared" si="42"/>
        <v/>
      </c>
      <c r="EJ24" s="78" t="str">
        <f t="shared" si="42"/>
        <v/>
      </c>
      <c r="EK24" s="78" t="str">
        <f t="shared" si="42"/>
        <v/>
      </c>
      <c r="EL24" s="74" t="str">
        <f t="shared" si="42"/>
        <v/>
      </c>
      <c r="EM24" s="74" t="str">
        <f t="shared" si="42"/>
        <v/>
      </c>
      <c r="EN24" s="74" t="str">
        <f t="shared" si="42"/>
        <v/>
      </c>
      <c r="EO24" s="74" t="str">
        <f t="shared" si="43"/>
        <v/>
      </c>
      <c r="EP24" s="74" t="str">
        <f t="shared" si="43"/>
        <v/>
      </c>
      <c r="EQ24" s="78" t="str">
        <f t="shared" si="43"/>
        <v/>
      </c>
      <c r="ER24" s="78" t="str">
        <f t="shared" si="43"/>
        <v/>
      </c>
      <c r="ES24" s="74" t="str">
        <f t="shared" si="43"/>
        <v/>
      </c>
      <c r="ET24" s="74" t="str">
        <f t="shared" si="43"/>
        <v/>
      </c>
      <c r="EU24" s="74" t="str">
        <f t="shared" si="43"/>
        <v/>
      </c>
      <c r="EV24" s="74" t="str">
        <f t="shared" si="43"/>
        <v/>
      </c>
      <c r="EW24" s="74" t="str">
        <f t="shared" si="43"/>
        <v/>
      </c>
      <c r="EX24" s="78" t="str">
        <f t="shared" si="43"/>
        <v/>
      </c>
      <c r="EY24" s="78" t="str">
        <f t="shared" si="44"/>
        <v/>
      </c>
      <c r="EZ24" s="74" t="str">
        <f t="shared" si="44"/>
        <v/>
      </c>
      <c r="FA24" s="74" t="str">
        <f t="shared" si="44"/>
        <v/>
      </c>
      <c r="FB24" s="74" t="str">
        <f t="shared" si="44"/>
        <v/>
      </c>
      <c r="FC24" s="74" t="str">
        <f t="shared" si="44"/>
        <v/>
      </c>
      <c r="FD24" s="74" t="str">
        <f t="shared" si="44"/>
        <v/>
      </c>
      <c r="FE24" s="78" t="str">
        <f t="shared" si="44"/>
        <v/>
      </c>
      <c r="FF24" s="78" t="str">
        <f t="shared" si="44"/>
        <v/>
      </c>
      <c r="FG24" s="74" t="str">
        <f t="shared" si="44"/>
        <v/>
      </c>
      <c r="FH24" s="74" t="str">
        <f t="shared" si="44"/>
        <v/>
      </c>
      <c r="FI24" s="74" t="str">
        <f t="shared" si="45"/>
        <v/>
      </c>
      <c r="FJ24" s="74" t="str">
        <f t="shared" si="45"/>
        <v/>
      </c>
      <c r="FK24" s="74" t="str">
        <f t="shared" si="45"/>
        <v/>
      </c>
      <c r="FL24" s="78" t="str">
        <f t="shared" si="45"/>
        <v/>
      </c>
      <c r="FM24" s="78" t="str">
        <f t="shared" si="45"/>
        <v/>
      </c>
      <c r="FN24" s="74" t="str">
        <f t="shared" si="45"/>
        <v/>
      </c>
      <c r="FO24" s="74" t="str">
        <f t="shared" si="45"/>
        <v/>
      </c>
      <c r="FP24" s="74" t="str">
        <f t="shared" si="45"/>
        <v/>
      </c>
      <c r="FQ24" s="74" t="str">
        <f t="shared" si="45"/>
        <v/>
      </c>
      <c r="FR24" s="74" t="str">
        <f t="shared" si="45"/>
        <v/>
      </c>
      <c r="FS24" s="78" t="str">
        <f t="shared" si="46"/>
        <v/>
      </c>
      <c r="FT24" s="78" t="str">
        <f t="shared" si="46"/>
        <v/>
      </c>
      <c r="FU24" s="74" t="str">
        <f t="shared" si="46"/>
        <v/>
      </c>
      <c r="FV24" s="74" t="str">
        <f t="shared" si="46"/>
        <v/>
      </c>
      <c r="FW24" s="74" t="str">
        <f t="shared" si="46"/>
        <v/>
      </c>
      <c r="FX24" s="74" t="str">
        <f t="shared" si="46"/>
        <v/>
      </c>
      <c r="FY24" s="74" t="str">
        <f t="shared" si="46"/>
        <v/>
      </c>
      <c r="FZ24" s="78" t="str">
        <f t="shared" si="46"/>
        <v/>
      </c>
      <c r="GA24" s="78" t="str">
        <f t="shared" si="46"/>
        <v/>
      </c>
      <c r="GB24" s="74" t="str">
        <f t="shared" si="46"/>
        <v/>
      </c>
      <c r="GC24" s="74" t="str">
        <f t="shared" si="47"/>
        <v/>
      </c>
      <c r="GD24" s="74" t="str">
        <f t="shared" si="47"/>
        <v/>
      </c>
      <c r="GE24" s="74" t="str">
        <f t="shared" si="47"/>
        <v/>
      </c>
      <c r="GF24" s="74" t="str">
        <f t="shared" si="47"/>
        <v/>
      </c>
      <c r="GG24" s="78" t="str">
        <f t="shared" si="47"/>
        <v/>
      </c>
      <c r="GH24" s="78" t="str">
        <f t="shared" si="47"/>
        <v/>
      </c>
      <c r="GI24" s="74" t="str">
        <f t="shared" si="47"/>
        <v/>
      </c>
      <c r="GJ24" s="74" t="str">
        <f t="shared" si="47"/>
        <v/>
      </c>
      <c r="GK24" s="74" t="str">
        <f t="shared" si="47"/>
        <v/>
      </c>
      <c r="GL24" s="74" t="str">
        <f t="shared" si="47"/>
        <v/>
      </c>
      <c r="GM24" s="74" t="str">
        <f t="shared" si="48"/>
        <v/>
      </c>
      <c r="GN24" s="78" t="str">
        <f t="shared" si="48"/>
        <v/>
      </c>
      <c r="GO24" s="78" t="str">
        <f t="shared" si="48"/>
        <v/>
      </c>
      <c r="GP24" s="74" t="str">
        <f t="shared" si="48"/>
        <v/>
      </c>
      <c r="GQ24" s="74" t="str">
        <f t="shared" si="48"/>
        <v/>
      </c>
      <c r="GR24" s="74" t="str">
        <f t="shared" si="48"/>
        <v/>
      </c>
      <c r="GS24" s="74" t="str">
        <f t="shared" si="48"/>
        <v/>
      </c>
      <c r="GT24" s="74" t="str">
        <f t="shared" si="48"/>
        <v/>
      </c>
      <c r="GU24" s="78" t="str">
        <f t="shared" si="48"/>
        <v/>
      </c>
      <c r="GV24" s="78" t="str">
        <f t="shared" si="48"/>
        <v/>
      </c>
      <c r="GW24" s="74" t="str">
        <f t="shared" si="49"/>
        <v/>
      </c>
      <c r="GX24" s="74" t="str">
        <f t="shared" si="49"/>
        <v/>
      </c>
      <c r="GY24" s="74" t="str">
        <f t="shared" si="49"/>
        <v/>
      </c>
      <c r="GZ24" s="74" t="str">
        <f t="shared" si="49"/>
        <v/>
      </c>
      <c r="HA24" s="74" t="str">
        <f t="shared" si="49"/>
        <v/>
      </c>
      <c r="HB24" s="78" t="str">
        <f t="shared" si="49"/>
        <v/>
      </c>
      <c r="HC24" s="78" t="str">
        <f t="shared" si="49"/>
        <v/>
      </c>
      <c r="HD24" s="74" t="str">
        <f t="shared" si="49"/>
        <v/>
      </c>
      <c r="HE24" s="74" t="str">
        <f t="shared" si="49"/>
        <v/>
      </c>
      <c r="HF24" s="74" t="str">
        <f t="shared" si="49"/>
        <v/>
      </c>
      <c r="HG24" s="74" t="str">
        <f t="shared" si="49"/>
        <v/>
      </c>
      <c r="HH24" s="74" t="str">
        <f t="shared" si="49"/>
        <v/>
      </c>
    </row>
    <row r="25" spans="1:216" x14ac:dyDescent="0.2">
      <c r="A25" s="82" t="str">
        <f>'FY1 Event Pipeline'!A8</f>
        <v>Tanweer Festival</v>
      </c>
      <c r="B25" s="83">
        <f>_xlfn.XLOOKUP(A25,'FY1 Event Pipeline'!$A$4:$A$15,'FY1 Event Pipeline'!$H$4:$H$15)</f>
        <v>46340</v>
      </c>
      <c r="C25" s="83">
        <f>_xlfn.XLOOKUP(A25,'FY1 Event Pipeline'!$A$4:$A$15,'FY1 Event Pipeline'!$J$4:$J$15)</f>
        <v>46352</v>
      </c>
      <c r="D25" s="84">
        <f>_xlfn.XLOOKUP(A25,'FY1 Event Pipeline'!$A$4:$A$15,'FY1 Event Pipeline'!$O$4:$O$15)</f>
        <v>8</v>
      </c>
      <c r="E25" s="74" t="str">
        <f t="shared" si="29"/>
        <v/>
      </c>
      <c r="F25" s="74" t="str">
        <f t="shared" si="29"/>
        <v/>
      </c>
      <c r="G25" s="78" t="str">
        <f t="shared" si="29"/>
        <v/>
      </c>
      <c r="H25" s="78" t="str">
        <f t="shared" si="29"/>
        <v/>
      </c>
      <c r="I25" s="74" t="str">
        <f t="shared" si="29"/>
        <v/>
      </c>
      <c r="J25" s="74" t="str">
        <f t="shared" si="29"/>
        <v/>
      </c>
      <c r="K25" s="74" t="str">
        <f t="shared" si="29"/>
        <v/>
      </c>
      <c r="L25" s="74" t="str">
        <f t="shared" si="29"/>
        <v/>
      </c>
      <c r="M25" s="74" t="str">
        <f t="shared" si="29"/>
        <v/>
      </c>
      <c r="N25" s="78" t="str">
        <f t="shared" si="29"/>
        <v/>
      </c>
      <c r="O25" s="78" t="str">
        <f t="shared" si="30"/>
        <v/>
      </c>
      <c r="P25" s="74" t="str">
        <f t="shared" si="30"/>
        <v/>
      </c>
      <c r="Q25" s="74" t="str">
        <f t="shared" si="30"/>
        <v/>
      </c>
      <c r="R25" s="74" t="str">
        <f t="shared" si="30"/>
        <v/>
      </c>
      <c r="S25" s="74" t="str">
        <f t="shared" si="30"/>
        <v/>
      </c>
      <c r="T25" s="74" t="str">
        <f t="shared" si="30"/>
        <v/>
      </c>
      <c r="U25" s="78" t="str">
        <f t="shared" si="30"/>
        <v/>
      </c>
      <c r="V25" s="78" t="str">
        <f t="shared" si="30"/>
        <v/>
      </c>
      <c r="W25" s="74" t="str">
        <f t="shared" si="30"/>
        <v/>
      </c>
      <c r="X25" s="74" t="str">
        <f t="shared" si="30"/>
        <v/>
      </c>
      <c r="Y25" s="74" t="str">
        <f t="shared" si="31"/>
        <v/>
      </c>
      <c r="Z25" s="74" t="str">
        <f t="shared" si="31"/>
        <v/>
      </c>
      <c r="AA25" s="74" t="str">
        <f t="shared" si="31"/>
        <v/>
      </c>
      <c r="AB25" s="78" t="str">
        <f t="shared" si="31"/>
        <v/>
      </c>
      <c r="AC25" s="78" t="str">
        <f t="shared" si="31"/>
        <v/>
      </c>
      <c r="AD25" s="74" t="str">
        <f t="shared" si="31"/>
        <v/>
      </c>
      <c r="AE25" s="74" t="str">
        <f t="shared" si="31"/>
        <v/>
      </c>
      <c r="AF25" s="74" t="str">
        <f t="shared" si="31"/>
        <v/>
      </c>
      <c r="AG25" s="74" t="str">
        <f t="shared" si="31"/>
        <v/>
      </c>
      <c r="AH25" s="74" t="str">
        <f t="shared" si="31"/>
        <v/>
      </c>
      <c r="AI25" s="78" t="str">
        <f t="shared" si="32"/>
        <v/>
      </c>
      <c r="AJ25" s="78" t="str">
        <f t="shared" si="32"/>
        <v/>
      </c>
      <c r="AK25" s="74" t="str">
        <f t="shared" si="32"/>
        <v/>
      </c>
      <c r="AL25" s="74" t="str">
        <f t="shared" si="32"/>
        <v/>
      </c>
      <c r="AM25" s="74" t="str">
        <f t="shared" si="32"/>
        <v/>
      </c>
      <c r="AN25" s="74" t="str">
        <f t="shared" si="32"/>
        <v/>
      </c>
      <c r="AO25" s="74" t="str">
        <f t="shared" si="32"/>
        <v/>
      </c>
      <c r="AP25" s="78" t="str">
        <f t="shared" si="32"/>
        <v/>
      </c>
      <c r="AQ25" s="78" t="str">
        <f t="shared" si="32"/>
        <v/>
      </c>
      <c r="AR25" s="74" t="str">
        <f t="shared" si="32"/>
        <v/>
      </c>
      <c r="AS25" s="74" t="str">
        <f t="shared" si="33"/>
        <v/>
      </c>
      <c r="AT25" s="74" t="str">
        <f t="shared" si="33"/>
        <v/>
      </c>
      <c r="AU25" s="74" t="str">
        <f t="shared" si="33"/>
        <v/>
      </c>
      <c r="AV25" s="74" t="str">
        <f t="shared" si="33"/>
        <v/>
      </c>
      <c r="AW25" s="75">
        <f t="shared" si="33"/>
        <v>8</v>
      </c>
      <c r="AX25" s="75">
        <f t="shared" si="33"/>
        <v>8</v>
      </c>
      <c r="AY25" s="75">
        <f t="shared" si="33"/>
        <v>8</v>
      </c>
      <c r="AZ25" s="75">
        <f t="shared" si="33"/>
        <v>8</v>
      </c>
      <c r="BA25" s="75">
        <f t="shared" si="33"/>
        <v>8</v>
      </c>
      <c r="BB25" s="75">
        <f t="shared" si="33"/>
        <v>8</v>
      </c>
      <c r="BC25" s="75">
        <f t="shared" si="34"/>
        <v>8</v>
      </c>
      <c r="BD25" s="76">
        <f t="shared" si="34"/>
        <v>8</v>
      </c>
      <c r="BE25" s="76">
        <f t="shared" si="34"/>
        <v>8</v>
      </c>
      <c r="BF25" s="76">
        <f t="shared" si="34"/>
        <v>8</v>
      </c>
      <c r="BG25" s="77">
        <f t="shared" si="34"/>
        <v>8</v>
      </c>
      <c r="BH25" s="77">
        <f t="shared" si="34"/>
        <v>8</v>
      </c>
      <c r="BI25" s="77">
        <f t="shared" si="34"/>
        <v>8</v>
      </c>
      <c r="BJ25" s="74" t="str">
        <f t="shared" si="34"/>
        <v/>
      </c>
      <c r="BK25" s="78" t="str">
        <f t="shared" si="34"/>
        <v/>
      </c>
      <c r="BL25" s="78" t="str">
        <f t="shared" si="34"/>
        <v/>
      </c>
      <c r="BM25" s="74" t="str">
        <f t="shared" si="35"/>
        <v/>
      </c>
      <c r="BN25" s="74" t="str">
        <f t="shared" si="35"/>
        <v/>
      </c>
      <c r="BO25" s="74" t="str">
        <f t="shared" si="35"/>
        <v/>
      </c>
      <c r="BP25" s="74" t="str">
        <f t="shared" si="35"/>
        <v/>
      </c>
      <c r="BQ25" s="74" t="str">
        <f t="shared" si="35"/>
        <v/>
      </c>
      <c r="BR25" s="78" t="str">
        <f t="shared" si="35"/>
        <v/>
      </c>
      <c r="BS25" s="78" t="str">
        <f t="shared" si="35"/>
        <v/>
      </c>
      <c r="BT25" s="74" t="str">
        <f t="shared" si="35"/>
        <v/>
      </c>
      <c r="BU25" s="74" t="str">
        <f t="shared" si="35"/>
        <v/>
      </c>
      <c r="BV25" s="74" t="str">
        <f t="shared" si="35"/>
        <v/>
      </c>
      <c r="BW25" s="74" t="str">
        <f t="shared" si="36"/>
        <v/>
      </c>
      <c r="BX25" s="74" t="str">
        <f t="shared" si="36"/>
        <v/>
      </c>
      <c r="BY25" s="78" t="str">
        <f t="shared" si="36"/>
        <v/>
      </c>
      <c r="BZ25" s="78" t="str">
        <f t="shared" si="36"/>
        <v/>
      </c>
      <c r="CA25" s="74" t="str">
        <f t="shared" si="36"/>
        <v/>
      </c>
      <c r="CB25" s="74" t="str">
        <f t="shared" si="36"/>
        <v/>
      </c>
      <c r="CC25" s="74" t="str">
        <f t="shared" si="36"/>
        <v/>
      </c>
      <c r="CD25" s="74" t="str">
        <f t="shared" si="36"/>
        <v/>
      </c>
      <c r="CE25" s="74" t="str">
        <f t="shared" si="36"/>
        <v/>
      </c>
      <c r="CF25" s="78" t="str">
        <f t="shared" si="36"/>
        <v/>
      </c>
      <c r="CG25" s="78" t="str">
        <f t="shared" si="37"/>
        <v/>
      </c>
      <c r="CH25" s="74" t="str">
        <f t="shared" si="37"/>
        <v/>
      </c>
      <c r="CI25" s="74" t="str">
        <f t="shared" si="37"/>
        <v/>
      </c>
      <c r="CJ25" s="74" t="str">
        <f t="shared" si="37"/>
        <v/>
      </c>
      <c r="CK25" s="74" t="str">
        <f t="shared" si="37"/>
        <v/>
      </c>
      <c r="CL25" s="74" t="str">
        <f t="shared" si="37"/>
        <v/>
      </c>
      <c r="CM25" s="78" t="str">
        <f t="shared" si="37"/>
        <v/>
      </c>
      <c r="CN25" s="78" t="str">
        <f t="shared" si="37"/>
        <v/>
      </c>
      <c r="CO25" s="74" t="str">
        <f t="shared" si="37"/>
        <v/>
      </c>
      <c r="CP25" s="74" t="str">
        <f t="shared" si="37"/>
        <v/>
      </c>
      <c r="CQ25" s="74" t="str">
        <f t="shared" si="38"/>
        <v/>
      </c>
      <c r="CR25" s="74" t="str">
        <f t="shared" si="38"/>
        <v/>
      </c>
      <c r="CS25" s="74" t="str">
        <f t="shared" si="38"/>
        <v/>
      </c>
      <c r="CT25" s="78" t="str">
        <f t="shared" si="38"/>
        <v/>
      </c>
      <c r="CU25" s="78" t="str">
        <f t="shared" si="38"/>
        <v/>
      </c>
      <c r="CV25" s="74" t="str">
        <f t="shared" si="38"/>
        <v/>
      </c>
      <c r="CW25" s="74" t="str">
        <f t="shared" si="38"/>
        <v/>
      </c>
      <c r="CX25" s="74" t="str">
        <f t="shared" si="38"/>
        <v/>
      </c>
      <c r="CY25" s="74" t="str">
        <f t="shared" si="38"/>
        <v/>
      </c>
      <c r="CZ25" s="74" t="str">
        <f t="shared" si="38"/>
        <v/>
      </c>
      <c r="DA25" s="78" t="str">
        <f t="shared" si="39"/>
        <v/>
      </c>
      <c r="DB25" s="78" t="str">
        <f t="shared" si="39"/>
        <v/>
      </c>
      <c r="DC25" s="74" t="str">
        <f t="shared" si="39"/>
        <v/>
      </c>
      <c r="DD25" s="74" t="str">
        <f t="shared" si="39"/>
        <v/>
      </c>
      <c r="DE25" s="74" t="str">
        <f t="shared" si="39"/>
        <v/>
      </c>
      <c r="DF25" s="74" t="str">
        <f t="shared" si="39"/>
        <v/>
      </c>
      <c r="DG25" s="74" t="str">
        <f t="shared" si="39"/>
        <v/>
      </c>
      <c r="DH25" s="78" t="str">
        <f t="shared" si="39"/>
        <v/>
      </c>
      <c r="DI25" s="78" t="str">
        <f t="shared" si="39"/>
        <v/>
      </c>
      <c r="DJ25" s="74" t="str">
        <f t="shared" si="39"/>
        <v/>
      </c>
      <c r="DK25" s="74" t="str">
        <f t="shared" si="40"/>
        <v/>
      </c>
      <c r="DL25" s="74" t="str">
        <f t="shared" si="40"/>
        <v/>
      </c>
      <c r="DM25" s="74" t="str">
        <f t="shared" si="40"/>
        <v/>
      </c>
      <c r="DN25" s="74" t="str">
        <f t="shared" si="40"/>
        <v/>
      </c>
      <c r="DO25" s="78" t="str">
        <f t="shared" si="40"/>
        <v/>
      </c>
      <c r="DP25" s="78" t="str">
        <f t="shared" si="40"/>
        <v/>
      </c>
      <c r="DQ25" s="74" t="str">
        <f t="shared" si="40"/>
        <v/>
      </c>
      <c r="DR25" s="74" t="str">
        <f t="shared" si="40"/>
        <v/>
      </c>
      <c r="DS25" s="74" t="str">
        <f t="shared" si="40"/>
        <v/>
      </c>
      <c r="DT25" s="74" t="str">
        <f t="shared" si="40"/>
        <v/>
      </c>
      <c r="DU25" s="74" t="str">
        <f t="shared" si="41"/>
        <v/>
      </c>
      <c r="DV25" s="78" t="str">
        <f t="shared" si="41"/>
        <v/>
      </c>
      <c r="DW25" s="78" t="str">
        <f t="shared" si="41"/>
        <v/>
      </c>
      <c r="DX25" s="74" t="str">
        <f t="shared" si="41"/>
        <v/>
      </c>
      <c r="DY25" s="74" t="str">
        <f t="shared" si="41"/>
        <v/>
      </c>
      <c r="DZ25" s="74" t="str">
        <f t="shared" si="41"/>
        <v/>
      </c>
      <c r="EA25" s="74" t="str">
        <f t="shared" si="41"/>
        <v/>
      </c>
      <c r="EB25" s="74" t="str">
        <f t="shared" si="41"/>
        <v/>
      </c>
      <c r="EC25" s="78" t="str">
        <f t="shared" si="41"/>
        <v/>
      </c>
      <c r="ED25" s="78" t="str">
        <f t="shared" si="41"/>
        <v/>
      </c>
      <c r="EE25" s="74" t="str">
        <f t="shared" si="42"/>
        <v/>
      </c>
      <c r="EF25" s="74" t="str">
        <f t="shared" si="42"/>
        <v/>
      </c>
      <c r="EG25" s="74" t="str">
        <f t="shared" si="42"/>
        <v/>
      </c>
      <c r="EH25" s="74" t="str">
        <f t="shared" si="42"/>
        <v/>
      </c>
      <c r="EI25" s="74" t="str">
        <f t="shared" si="42"/>
        <v/>
      </c>
      <c r="EJ25" s="78" t="str">
        <f t="shared" si="42"/>
        <v/>
      </c>
      <c r="EK25" s="78" t="str">
        <f t="shared" si="42"/>
        <v/>
      </c>
      <c r="EL25" s="74" t="str">
        <f t="shared" si="42"/>
        <v/>
      </c>
      <c r="EM25" s="74" t="str">
        <f t="shared" si="42"/>
        <v/>
      </c>
      <c r="EN25" s="74" t="str">
        <f t="shared" si="42"/>
        <v/>
      </c>
      <c r="EO25" s="74" t="str">
        <f t="shared" si="43"/>
        <v/>
      </c>
      <c r="EP25" s="74" t="str">
        <f t="shared" si="43"/>
        <v/>
      </c>
      <c r="EQ25" s="78" t="str">
        <f t="shared" si="43"/>
        <v/>
      </c>
      <c r="ER25" s="78" t="str">
        <f t="shared" si="43"/>
        <v/>
      </c>
      <c r="ES25" s="74" t="str">
        <f t="shared" si="43"/>
        <v/>
      </c>
      <c r="ET25" s="74" t="str">
        <f t="shared" si="43"/>
        <v/>
      </c>
      <c r="EU25" s="74" t="str">
        <f t="shared" si="43"/>
        <v/>
      </c>
      <c r="EV25" s="74" t="str">
        <f t="shared" si="43"/>
        <v/>
      </c>
      <c r="EW25" s="74" t="str">
        <f t="shared" si="43"/>
        <v/>
      </c>
      <c r="EX25" s="78" t="str">
        <f t="shared" si="43"/>
        <v/>
      </c>
      <c r="EY25" s="78" t="str">
        <f t="shared" si="44"/>
        <v/>
      </c>
      <c r="EZ25" s="74" t="str">
        <f t="shared" si="44"/>
        <v/>
      </c>
      <c r="FA25" s="74" t="str">
        <f t="shared" si="44"/>
        <v/>
      </c>
      <c r="FB25" s="74" t="str">
        <f t="shared" si="44"/>
        <v/>
      </c>
      <c r="FC25" s="74" t="str">
        <f t="shared" si="44"/>
        <v/>
      </c>
      <c r="FD25" s="74" t="str">
        <f t="shared" si="44"/>
        <v/>
      </c>
      <c r="FE25" s="78" t="str">
        <f t="shared" si="44"/>
        <v/>
      </c>
      <c r="FF25" s="78" t="str">
        <f t="shared" si="44"/>
        <v/>
      </c>
      <c r="FG25" s="74" t="str">
        <f t="shared" si="44"/>
        <v/>
      </c>
      <c r="FH25" s="74" t="str">
        <f t="shared" si="44"/>
        <v/>
      </c>
      <c r="FI25" s="74" t="str">
        <f t="shared" si="45"/>
        <v/>
      </c>
      <c r="FJ25" s="74" t="str">
        <f t="shared" si="45"/>
        <v/>
      </c>
      <c r="FK25" s="74" t="str">
        <f t="shared" si="45"/>
        <v/>
      </c>
      <c r="FL25" s="78" t="str">
        <f t="shared" si="45"/>
        <v/>
      </c>
      <c r="FM25" s="78" t="str">
        <f t="shared" si="45"/>
        <v/>
      </c>
      <c r="FN25" s="74" t="str">
        <f t="shared" si="45"/>
        <v/>
      </c>
      <c r="FO25" s="74" t="str">
        <f t="shared" si="45"/>
        <v/>
      </c>
      <c r="FP25" s="74" t="str">
        <f t="shared" si="45"/>
        <v/>
      </c>
      <c r="FQ25" s="74" t="str">
        <f t="shared" si="45"/>
        <v/>
      </c>
      <c r="FR25" s="74" t="str">
        <f t="shared" si="45"/>
        <v/>
      </c>
      <c r="FS25" s="78" t="str">
        <f t="shared" si="46"/>
        <v/>
      </c>
      <c r="FT25" s="78" t="str">
        <f t="shared" si="46"/>
        <v/>
      </c>
      <c r="FU25" s="74" t="str">
        <f t="shared" si="46"/>
        <v/>
      </c>
      <c r="FV25" s="74" t="str">
        <f t="shared" si="46"/>
        <v/>
      </c>
      <c r="FW25" s="74" t="str">
        <f t="shared" si="46"/>
        <v/>
      </c>
      <c r="FX25" s="74" t="str">
        <f t="shared" si="46"/>
        <v/>
      </c>
      <c r="FY25" s="74" t="str">
        <f t="shared" si="46"/>
        <v/>
      </c>
      <c r="FZ25" s="78" t="str">
        <f t="shared" si="46"/>
        <v/>
      </c>
      <c r="GA25" s="78" t="str">
        <f t="shared" si="46"/>
        <v/>
      </c>
      <c r="GB25" s="74" t="str">
        <f t="shared" si="46"/>
        <v/>
      </c>
      <c r="GC25" s="74" t="str">
        <f t="shared" si="47"/>
        <v/>
      </c>
      <c r="GD25" s="74" t="str">
        <f t="shared" si="47"/>
        <v/>
      </c>
      <c r="GE25" s="74" t="str">
        <f t="shared" si="47"/>
        <v/>
      </c>
      <c r="GF25" s="74" t="str">
        <f t="shared" si="47"/>
        <v/>
      </c>
      <c r="GG25" s="78" t="str">
        <f t="shared" si="47"/>
        <v/>
      </c>
      <c r="GH25" s="78" t="str">
        <f t="shared" si="47"/>
        <v/>
      </c>
      <c r="GI25" s="74" t="str">
        <f t="shared" si="47"/>
        <v/>
      </c>
      <c r="GJ25" s="74" t="str">
        <f t="shared" si="47"/>
        <v/>
      </c>
      <c r="GK25" s="74" t="str">
        <f t="shared" si="47"/>
        <v/>
      </c>
      <c r="GL25" s="74" t="str">
        <f t="shared" si="47"/>
        <v/>
      </c>
      <c r="GM25" s="74" t="str">
        <f t="shared" si="48"/>
        <v/>
      </c>
      <c r="GN25" s="78" t="str">
        <f t="shared" si="48"/>
        <v/>
      </c>
      <c r="GO25" s="78" t="str">
        <f t="shared" si="48"/>
        <v/>
      </c>
      <c r="GP25" s="74" t="str">
        <f t="shared" si="48"/>
        <v/>
      </c>
      <c r="GQ25" s="74" t="str">
        <f t="shared" si="48"/>
        <v/>
      </c>
      <c r="GR25" s="74" t="str">
        <f t="shared" si="48"/>
        <v/>
      </c>
      <c r="GS25" s="74" t="str">
        <f t="shared" si="48"/>
        <v/>
      </c>
      <c r="GT25" s="74" t="str">
        <f t="shared" si="48"/>
        <v/>
      </c>
      <c r="GU25" s="78" t="str">
        <f t="shared" si="48"/>
        <v/>
      </c>
      <c r="GV25" s="78" t="str">
        <f t="shared" si="48"/>
        <v/>
      </c>
      <c r="GW25" s="74" t="str">
        <f t="shared" si="49"/>
        <v/>
      </c>
      <c r="GX25" s="74" t="str">
        <f t="shared" si="49"/>
        <v/>
      </c>
      <c r="GY25" s="74" t="str">
        <f t="shared" si="49"/>
        <v/>
      </c>
      <c r="GZ25" s="74" t="str">
        <f t="shared" si="49"/>
        <v/>
      </c>
      <c r="HA25" s="74" t="str">
        <f t="shared" si="49"/>
        <v/>
      </c>
      <c r="HB25" s="78" t="str">
        <f t="shared" si="49"/>
        <v/>
      </c>
      <c r="HC25" s="78" t="str">
        <f t="shared" si="49"/>
        <v/>
      </c>
      <c r="HD25" s="74" t="str">
        <f t="shared" si="49"/>
        <v/>
      </c>
      <c r="HE25" s="74" t="str">
        <f t="shared" si="49"/>
        <v/>
      </c>
      <c r="HF25" s="74" t="str">
        <f t="shared" si="49"/>
        <v/>
      </c>
      <c r="HG25" s="74" t="str">
        <f t="shared" si="49"/>
        <v/>
      </c>
      <c r="HH25" s="74" t="str">
        <f t="shared" si="49"/>
        <v/>
      </c>
    </row>
    <row r="26" spans="1:216" x14ac:dyDescent="0.2">
      <c r="A26" s="82" t="str">
        <f>'FY1 Event Pipeline'!A9</f>
        <v>MOTN AAN</v>
      </c>
      <c r="B26" s="83">
        <f>_xlfn.XLOOKUP(A26,'FY1 Event Pipeline'!$A$4:$A$15,'FY1 Event Pipeline'!$H$4:$H$15)</f>
        <v>46336</v>
      </c>
      <c r="C26" s="83">
        <f>_xlfn.XLOOKUP(A26,'FY1 Event Pipeline'!$A$4:$A$15,'FY1 Event Pipeline'!$J$4:$J$15)</f>
        <v>46362</v>
      </c>
      <c r="D26" s="84">
        <f>_xlfn.XLOOKUP(A26,'FY1 Event Pipeline'!$A$4:$A$15,'FY1 Event Pipeline'!$O$4:$O$15)</f>
        <v>6</v>
      </c>
      <c r="E26" s="74" t="str">
        <f t="shared" si="29"/>
        <v/>
      </c>
      <c r="F26" s="74" t="str">
        <f t="shared" si="29"/>
        <v/>
      </c>
      <c r="G26" s="78" t="str">
        <f t="shared" si="29"/>
        <v/>
      </c>
      <c r="H26" s="78" t="str">
        <f t="shared" si="29"/>
        <v/>
      </c>
      <c r="I26" s="74" t="str">
        <f t="shared" si="29"/>
        <v/>
      </c>
      <c r="J26" s="74" t="str">
        <f t="shared" si="29"/>
        <v/>
      </c>
      <c r="K26" s="74" t="str">
        <f t="shared" si="29"/>
        <v/>
      </c>
      <c r="L26" s="74" t="str">
        <f t="shared" si="29"/>
        <v/>
      </c>
      <c r="M26" s="74" t="str">
        <f t="shared" si="29"/>
        <v/>
      </c>
      <c r="N26" s="78" t="str">
        <f t="shared" si="29"/>
        <v/>
      </c>
      <c r="O26" s="78" t="str">
        <f t="shared" si="30"/>
        <v/>
      </c>
      <c r="P26" s="74" t="str">
        <f t="shared" si="30"/>
        <v/>
      </c>
      <c r="Q26" s="74" t="str">
        <f t="shared" si="30"/>
        <v/>
      </c>
      <c r="R26" s="74" t="str">
        <f t="shared" si="30"/>
        <v/>
      </c>
      <c r="S26" s="74" t="str">
        <f t="shared" si="30"/>
        <v/>
      </c>
      <c r="T26" s="74" t="str">
        <f t="shared" si="30"/>
        <v/>
      </c>
      <c r="U26" s="78" t="str">
        <f t="shared" si="30"/>
        <v/>
      </c>
      <c r="V26" s="78" t="str">
        <f t="shared" si="30"/>
        <v/>
      </c>
      <c r="W26" s="74" t="str">
        <f t="shared" si="30"/>
        <v/>
      </c>
      <c r="X26" s="74" t="str">
        <f t="shared" si="30"/>
        <v/>
      </c>
      <c r="Y26" s="74" t="str">
        <f t="shared" si="31"/>
        <v/>
      </c>
      <c r="Z26" s="74" t="str">
        <f t="shared" si="31"/>
        <v/>
      </c>
      <c r="AA26" s="74" t="str">
        <f t="shared" si="31"/>
        <v/>
      </c>
      <c r="AB26" s="78" t="str">
        <f t="shared" si="31"/>
        <v/>
      </c>
      <c r="AC26" s="78" t="str">
        <f t="shared" si="31"/>
        <v/>
      </c>
      <c r="AD26" s="74" t="str">
        <f t="shared" si="31"/>
        <v/>
      </c>
      <c r="AE26" s="74" t="str">
        <f t="shared" si="31"/>
        <v/>
      </c>
      <c r="AF26" s="74" t="str">
        <f t="shared" si="31"/>
        <v/>
      </c>
      <c r="AG26" s="74" t="str">
        <f t="shared" si="31"/>
        <v/>
      </c>
      <c r="AH26" s="74" t="str">
        <f t="shared" si="31"/>
        <v/>
      </c>
      <c r="AI26" s="78" t="str">
        <f t="shared" si="32"/>
        <v/>
      </c>
      <c r="AJ26" s="78" t="str">
        <f t="shared" si="32"/>
        <v/>
      </c>
      <c r="AK26" s="74" t="str">
        <f t="shared" si="32"/>
        <v/>
      </c>
      <c r="AL26" s="74" t="str">
        <f t="shared" si="32"/>
        <v/>
      </c>
      <c r="AM26" s="74" t="str">
        <f t="shared" si="32"/>
        <v/>
      </c>
      <c r="AN26" s="74" t="str">
        <f t="shared" si="32"/>
        <v/>
      </c>
      <c r="AO26" s="74" t="str">
        <f t="shared" si="32"/>
        <v/>
      </c>
      <c r="AP26" s="78" t="str">
        <f t="shared" si="32"/>
        <v/>
      </c>
      <c r="AQ26" s="78" t="str">
        <f t="shared" si="32"/>
        <v/>
      </c>
      <c r="AR26" s="74" t="str">
        <f t="shared" si="32"/>
        <v/>
      </c>
      <c r="AS26" s="75">
        <f t="shared" si="33"/>
        <v>6</v>
      </c>
      <c r="AT26" s="75">
        <f t="shared" si="33"/>
        <v>6</v>
      </c>
      <c r="AU26" s="75">
        <f t="shared" si="33"/>
        <v>6</v>
      </c>
      <c r="AV26" s="75">
        <f t="shared" si="33"/>
        <v>6</v>
      </c>
      <c r="AW26" s="75">
        <f t="shared" si="33"/>
        <v>6</v>
      </c>
      <c r="AX26" s="75">
        <f t="shared" si="33"/>
        <v>6</v>
      </c>
      <c r="AY26" s="75">
        <f t="shared" si="33"/>
        <v>6</v>
      </c>
      <c r="AZ26" s="75">
        <f t="shared" si="33"/>
        <v>6</v>
      </c>
      <c r="BA26" s="75">
        <f t="shared" si="33"/>
        <v>6</v>
      </c>
      <c r="BB26" s="75">
        <f t="shared" si="33"/>
        <v>6</v>
      </c>
      <c r="BC26" s="75">
        <f t="shared" si="34"/>
        <v>6</v>
      </c>
      <c r="BD26" s="75">
        <f t="shared" si="34"/>
        <v>6</v>
      </c>
      <c r="BE26" s="75">
        <f t="shared" si="34"/>
        <v>6</v>
      </c>
      <c r="BF26" s="75">
        <f t="shared" si="34"/>
        <v>6</v>
      </c>
      <c r="BG26" s="76">
        <f t="shared" si="34"/>
        <v>6</v>
      </c>
      <c r="BH26" s="76">
        <f t="shared" si="34"/>
        <v>6</v>
      </c>
      <c r="BI26" s="76">
        <f t="shared" si="34"/>
        <v>6</v>
      </c>
      <c r="BJ26" s="76">
        <f t="shared" si="34"/>
        <v>6</v>
      </c>
      <c r="BK26" s="76">
        <f t="shared" si="34"/>
        <v>6</v>
      </c>
      <c r="BL26" s="76">
        <f t="shared" si="34"/>
        <v>6</v>
      </c>
      <c r="BM26" s="76">
        <f t="shared" si="35"/>
        <v>6</v>
      </c>
      <c r="BN26" s="76">
        <f t="shared" si="35"/>
        <v>6</v>
      </c>
      <c r="BO26" s="76">
        <f t="shared" si="35"/>
        <v>6</v>
      </c>
      <c r="BP26" s="77">
        <f t="shared" si="35"/>
        <v>6</v>
      </c>
      <c r="BQ26" s="77">
        <f t="shared" si="35"/>
        <v>6</v>
      </c>
      <c r="BR26" s="77">
        <f t="shared" si="35"/>
        <v>6</v>
      </c>
      <c r="BS26" s="77">
        <f t="shared" si="35"/>
        <v>6</v>
      </c>
      <c r="BT26" s="74" t="str">
        <f t="shared" si="35"/>
        <v/>
      </c>
      <c r="BU26" s="74" t="str">
        <f t="shared" si="35"/>
        <v/>
      </c>
      <c r="BV26" s="74" t="str">
        <f t="shared" si="35"/>
        <v/>
      </c>
      <c r="BW26" s="74" t="str">
        <f t="shared" si="36"/>
        <v/>
      </c>
      <c r="BX26" s="74" t="str">
        <f t="shared" si="36"/>
        <v/>
      </c>
      <c r="BY26" s="78" t="str">
        <f t="shared" si="36"/>
        <v/>
      </c>
      <c r="BZ26" s="78" t="str">
        <f t="shared" si="36"/>
        <v/>
      </c>
      <c r="CA26" s="74" t="str">
        <f t="shared" si="36"/>
        <v/>
      </c>
      <c r="CB26" s="74" t="str">
        <f t="shared" si="36"/>
        <v/>
      </c>
      <c r="CC26" s="74" t="str">
        <f t="shared" si="36"/>
        <v/>
      </c>
      <c r="CD26" s="74" t="str">
        <f t="shared" si="36"/>
        <v/>
      </c>
      <c r="CE26" s="74" t="str">
        <f t="shared" si="36"/>
        <v/>
      </c>
      <c r="CF26" s="78" t="str">
        <f t="shared" si="36"/>
        <v/>
      </c>
      <c r="CG26" s="78" t="str">
        <f t="shared" si="37"/>
        <v/>
      </c>
      <c r="CH26" s="74" t="str">
        <f t="shared" si="37"/>
        <v/>
      </c>
      <c r="CI26" s="74" t="str">
        <f t="shared" si="37"/>
        <v/>
      </c>
      <c r="CJ26" s="74" t="str">
        <f t="shared" si="37"/>
        <v/>
      </c>
      <c r="CK26" s="74" t="str">
        <f t="shared" si="37"/>
        <v/>
      </c>
      <c r="CL26" s="74" t="str">
        <f t="shared" si="37"/>
        <v/>
      </c>
      <c r="CM26" s="78" t="str">
        <f t="shared" si="37"/>
        <v/>
      </c>
      <c r="CN26" s="78" t="str">
        <f t="shared" si="37"/>
        <v/>
      </c>
      <c r="CO26" s="74" t="str">
        <f t="shared" si="37"/>
        <v/>
      </c>
      <c r="CP26" s="74" t="str">
        <f t="shared" si="37"/>
        <v/>
      </c>
      <c r="CQ26" s="74" t="str">
        <f t="shared" si="38"/>
        <v/>
      </c>
      <c r="CR26" s="74" t="str">
        <f t="shared" si="38"/>
        <v/>
      </c>
      <c r="CS26" s="74" t="str">
        <f t="shared" si="38"/>
        <v/>
      </c>
      <c r="CT26" s="78" t="str">
        <f t="shared" si="38"/>
        <v/>
      </c>
      <c r="CU26" s="78" t="str">
        <f t="shared" si="38"/>
        <v/>
      </c>
      <c r="CV26" s="74" t="str">
        <f t="shared" si="38"/>
        <v/>
      </c>
      <c r="CW26" s="74" t="str">
        <f t="shared" si="38"/>
        <v/>
      </c>
      <c r="CX26" s="74" t="str">
        <f t="shared" si="38"/>
        <v/>
      </c>
      <c r="CY26" s="74" t="str">
        <f t="shared" si="38"/>
        <v/>
      </c>
      <c r="CZ26" s="74" t="str">
        <f t="shared" si="38"/>
        <v/>
      </c>
      <c r="DA26" s="78" t="str">
        <f t="shared" si="39"/>
        <v/>
      </c>
      <c r="DB26" s="78" t="str">
        <f t="shared" si="39"/>
        <v/>
      </c>
      <c r="DC26" s="74" t="str">
        <f t="shared" si="39"/>
        <v/>
      </c>
      <c r="DD26" s="74" t="str">
        <f t="shared" si="39"/>
        <v/>
      </c>
      <c r="DE26" s="74" t="str">
        <f t="shared" si="39"/>
        <v/>
      </c>
      <c r="DF26" s="74" t="str">
        <f t="shared" si="39"/>
        <v/>
      </c>
      <c r="DG26" s="74" t="str">
        <f t="shared" si="39"/>
        <v/>
      </c>
      <c r="DH26" s="78" t="str">
        <f t="shared" si="39"/>
        <v/>
      </c>
      <c r="DI26" s="78" t="str">
        <f t="shared" si="39"/>
        <v/>
      </c>
      <c r="DJ26" s="74" t="str">
        <f t="shared" si="39"/>
        <v/>
      </c>
      <c r="DK26" s="74" t="str">
        <f t="shared" si="40"/>
        <v/>
      </c>
      <c r="DL26" s="74" t="str">
        <f t="shared" si="40"/>
        <v/>
      </c>
      <c r="DM26" s="74" t="str">
        <f t="shared" si="40"/>
        <v/>
      </c>
      <c r="DN26" s="74" t="str">
        <f t="shared" si="40"/>
        <v/>
      </c>
      <c r="DO26" s="78" t="str">
        <f t="shared" si="40"/>
        <v/>
      </c>
      <c r="DP26" s="78" t="str">
        <f t="shared" si="40"/>
        <v/>
      </c>
      <c r="DQ26" s="74" t="str">
        <f t="shared" si="40"/>
        <v/>
      </c>
      <c r="DR26" s="74" t="str">
        <f t="shared" si="40"/>
        <v/>
      </c>
      <c r="DS26" s="74" t="str">
        <f t="shared" si="40"/>
        <v/>
      </c>
      <c r="DT26" s="74" t="str">
        <f t="shared" si="40"/>
        <v/>
      </c>
      <c r="DU26" s="74" t="str">
        <f t="shared" si="41"/>
        <v/>
      </c>
      <c r="DV26" s="78" t="str">
        <f t="shared" si="41"/>
        <v/>
      </c>
      <c r="DW26" s="78" t="str">
        <f t="shared" si="41"/>
        <v/>
      </c>
      <c r="DX26" s="74" t="str">
        <f t="shared" si="41"/>
        <v/>
      </c>
      <c r="DY26" s="74" t="str">
        <f t="shared" si="41"/>
        <v/>
      </c>
      <c r="DZ26" s="74" t="str">
        <f t="shared" si="41"/>
        <v/>
      </c>
      <c r="EA26" s="74" t="str">
        <f t="shared" si="41"/>
        <v/>
      </c>
      <c r="EB26" s="74" t="str">
        <f t="shared" si="41"/>
        <v/>
      </c>
      <c r="EC26" s="78" t="str">
        <f t="shared" si="41"/>
        <v/>
      </c>
      <c r="ED26" s="78" t="str">
        <f t="shared" si="41"/>
        <v/>
      </c>
      <c r="EE26" s="74" t="str">
        <f t="shared" si="42"/>
        <v/>
      </c>
      <c r="EF26" s="74" t="str">
        <f t="shared" si="42"/>
        <v/>
      </c>
      <c r="EG26" s="74" t="str">
        <f t="shared" si="42"/>
        <v/>
      </c>
      <c r="EH26" s="74" t="str">
        <f t="shared" si="42"/>
        <v/>
      </c>
      <c r="EI26" s="74" t="str">
        <f t="shared" si="42"/>
        <v/>
      </c>
      <c r="EJ26" s="78" t="str">
        <f t="shared" si="42"/>
        <v/>
      </c>
      <c r="EK26" s="78" t="str">
        <f t="shared" si="42"/>
        <v/>
      </c>
      <c r="EL26" s="74" t="str">
        <f t="shared" si="42"/>
        <v/>
      </c>
      <c r="EM26" s="74" t="str">
        <f t="shared" si="42"/>
        <v/>
      </c>
      <c r="EN26" s="74" t="str">
        <f t="shared" si="42"/>
        <v/>
      </c>
      <c r="EO26" s="74" t="str">
        <f t="shared" si="43"/>
        <v/>
      </c>
      <c r="EP26" s="74" t="str">
        <f t="shared" si="43"/>
        <v/>
      </c>
      <c r="EQ26" s="78" t="str">
        <f t="shared" si="43"/>
        <v/>
      </c>
      <c r="ER26" s="78" t="str">
        <f t="shared" si="43"/>
        <v/>
      </c>
      <c r="ES26" s="74" t="str">
        <f t="shared" si="43"/>
        <v/>
      </c>
      <c r="ET26" s="74" t="str">
        <f t="shared" si="43"/>
        <v/>
      </c>
      <c r="EU26" s="74" t="str">
        <f t="shared" si="43"/>
        <v/>
      </c>
      <c r="EV26" s="74" t="str">
        <f t="shared" si="43"/>
        <v/>
      </c>
      <c r="EW26" s="74" t="str">
        <f t="shared" si="43"/>
        <v/>
      </c>
      <c r="EX26" s="78" t="str">
        <f t="shared" si="43"/>
        <v/>
      </c>
      <c r="EY26" s="78" t="str">
        <f t="shared" si="44"/>
        <v/>
      </c>
      <c r="EZ26" s="74" t="str">
        <f t="shared" si="44"/>
        <v/>
      </c>
      <c r="FA26" s="74" t="str">
        <f t="shared" si="44"/>
        <v/>
      </c>
      <c r="FB26" s="74" t="str">
        <f t="shared" si="44"/>
        <v/>
      </c>
      <c r="FC26" s="74" t="str">
        <f t="shared" si="44"/>
        <v/>
      </c>
      <c r="FD26" s="74" t="str">
        <f t="shared" si="44"/>
        <v/>
      </c>
      <c r="FE26" s="78" t="str">
        <f t="shared" si="44"/>
        <v/>
      </c>
      <c r="FF26" s="78" t="str">
        <f t="shared" si="44"/>
        <v/>
      </c>
      <c r="FG26" s="74" t="str">
        <f t="shared" si="44"/>
        <v/>
      </c>
      <c r="FH26" s="74" t="str">
        <f t="shared" si="44"/>
        <v/>
      </c>
      <c r="FI26" s="74" t="str">
        <f t="shared" si="45"/>
        <v/>
      </c>
      <c r="FJ26" s="74" t="str">
        <f t="shared" si="45"/>
        <v/>
      </c>
      <c r="FK26" s="74" t="str">
        <f t="shared" si="45"/>
        <v/>
      </c>
      <c r="FL26" s="78" t="str">
        <f t="shared" si="45"/>
        <v/>
      </c>
      <c r="FM26" s="78" t="str">
        <f t="shared" si="45"/>
        <v/>
      </c>
      <c r="FN26" s="74" t="str">
        <f t="shared" si="45"/>
        <v/>
      </c>
      <c r="FO26" s="74" t="str">
        <f t="shared" si="45"/>
        <v/>
      </c>
      <c r="FP26" s="74" t="str">
        <f t="shared" si="45"/>
        <v/>
      </c>
      <c r="FQ26" s="74" t="str">
        <f t="shared" si="45"/>
        <v/>
      </c>
      <c r="FR26" s="74" t="str">
        <f t="shared" si="45"/>
        <v/>
      </c>
      <c r="FS26" s="78" t="str">
        <f t="shared" si="46"/>
        <v/>
      </c>
      <c r="FT26" s="78" t="str">
        <f t="shared" si="46"/>
        <v/>
      </c>
      <c r="FU26" s="74" t="str">
        <f t="shared" si="46"/>
        <v/>
      </c>
      <c r="FV26" s="74" t="str">
        <f t="shared" si="46"/>
        <v/>
      </c>
      <c r="FW26" s="74" t="str">
        <f t="shared" si="46"/>
        <v/>
      </c>
      <c r="FX26" s="74" t="str">
        <f t="shared" si="46"/>
        <v/>
      </c>
      <c r="FY26" s="74" t="str">
        <f t="shared" si="46"/>
        <v/>
      </c>
      <c r="FZ26" s="78" t="str">
        <f t="shared" si="46"/>
        <v/>
      </c>
      <c r="GA26" s="78" t="str">
        <f t="shared" si="46"/>
        <v/>
      </c>
      <c r="GB26" s="74" t="str">
        <f t="shared" si="46"/>
        <v/>
      </c>
      <c r="GC26" s="74" t="str">
        <f t="shared" si="47"/>
        <v/>
      </c>
      <c r="GD26" s="74" t="str">
        <f t="shared" si="47"/>
        <v/>
      </c>
      <c r="GE26" s="74" t="str">
        <f t="shared" si="47"/>
        <v/>
      </c>
      <c r="GF26" s="74" t="str">
        <f t="shared" si="47"/>
        <v/>
      </c>
      <c r="GG26" s="78" t="str">
        <f t="shared" si="47"/>
        <v/>
      </c>
      <c r="GH26" s="78" t="str">
        <f t="shared" si="47"/>
        <v/>
      </c>
      <c r="GI26" s="74" t="str">
        <f t="shared" si="47"/>
        <v/>
      </c>
      <c r="GJ26" s="74" t="str">
        <f t="shared" si="47"/>
        <v/>
      </c>
      <c r="GK26" s="74" t="str">
        <f t="shared" si="47"/>
        <v/>
      </c>
      <c r="GL26" s="74" t="str">
        <f t="shared" si="47"/>
        <v/>
      </c>
      <c r="GM26" s="74" t="str">
        <f t="shared" si="48"/>
        <v/>
      </c>
      <c r="GN26" s="78" t="str">
        <f t="shared" si="48"/>
        <v/>
      </c>
      <c r="GO26" s="78" t="str">
        <f t="shared" si="48"/>
        <v/>
      </c>
      <c r="GP26" s="74" t="str">
        <f t="shared" si="48"/>
        <v/>
      </c>
      <c r="GQ26" s="74" t="str">
        <f t="shared" si="48"/>
        <v/>
      </c>
      <c r="GR26" s="74" t="str">
        <f t="shared" si="48"/>
        <v/>
      </c>
      <c r="GS26" s="74" t="str">
        <f t="shared" si="48"/>
        <v/>
      </c>
      <c r="GT26" s="74" t="str">
        <f t="shared" si="48"/>
        <v/>
      </c>
      <c r="GU26" s="78" t="str">
        <f t="shared" si="48"/>
        <v/>
      </c>
      <c r="GV26" s="78" t="str">
        <f t="shared" si="48"/>
        <v/>
      </c>
      <c r="GW26" s="74" t="str">
        <f t="shared" si="49"/>
        <v/>
      </c>
      <c r="GX26" s="74" t="str">
        <f t="shared" si="49"/>
        <v/>
      </c>
      <c r="GY26" s="74" t="str">
        <f t="shared" si="49"/>
        <v/>
      </c>
      <c r="GZ26" s="74" t="str">
        <f t="shared" si="49"/>
        <v/>
      </c>
      <c r="HA26" s="74" t="str">
        <f t="shared" si="49"/>
        <v/>
      </c>
      <c r="HB26" s="78" t="str">
        <f t="shared" si="49"/>
        <v/>
      </c>
      <c r="HC26" s="78" t="str">
        <f t="shared" si="49"/>
        <v/>
      </c>
      <c r="HD26" s="74" t="str">
        <f t="shared" si="49"/>
        <v/>
      </c>
      <c r="HE26" s="74" t="str">
        <f t="shared" si="49"/>
        <v/>
      </c>
      <c r="HF26" s="74" t="str">
        <f t="shared" si="49"/>
        <v/>
      </c>
      <c r="HG26" s="74" t="str">
        <f t="shared" si="49"/>
        <v/>
      </c>
      <c r="HH26" s="74" t="str">
        <f t="shared" si="49"/>
        <v/>
      </c>
    </row>
    <row r="27" spans="1:216" x14ac:dyDescent="0.2">
      <c r="A27" s="82" t="str">
        <f>'FY1 Event Pipeline'!A10</f>
        <v>F1 Afterparty</v>
      </c>
      <c r="B27" s="83">
        <f>_xlfn.XLOOKUP(A27,'FY1 Event Pipeline'!$A$4:$A$15,'FY1 Event Pipeline'!$H$4:$H$15)</f>
        <v>46353</v>
      </c>
      <c r="C27" s="83">
        <f>_xlfn.XLOOKUP(A27,'FY1 Event Pipeline'!$A$4:$A$15,'FY1 Event Pipeline'!$J$4:$J$15)</f>
        <v>46365</v>
      </c>
      <c r="D27" s="84">
        <f>_xlfn.XLOOKUP(A27,'FY1 Event Pipeline'!$A$4:$A$15,'FY1 Event Pipeline'!$O$4:$O$15)</f>
        <v>8</v>
      </c>
      <c r="E27" s="74" t="str">
        <f t="shared" si="29"/>
        <v/>
      </c>
      <c r="F27" s="74" t="str">
        <f t="shared" si="29"/>
        <v/>
      </c>
      <c r="G27" s="78" t="str">
        <f t="shared" si="29"/>
        <v/>
      </c>
      <c r="H27" s="78" t="str">
        <f t="shared" si="29"/>
        <v/>
      </c>
      <c r="I27" s="74" t="str">
        <f t="shared" si="29"/>
        <v/>
      </c>
      <c r="J27" s="74" t="str">
        <f t="shared" si="29"/>
        <v/>
      </c>
      <c r="K27" s="74" t="str">
        <f t="shared" si="29"/>
        <v/>
      </c>
      <c r="L27" s="74" t="str">
        <f t="shared" si="29"/>
        <v/>
      </c>
      <c r="M27" s="74" t="str">
        <f t="shared" si="29"/>
        <v/>
      </c>
      <c r="N27" s="78" t="str">
        <f t="shared" si="29"/>
        <v/>
      </c>
      <c r="O27" s="78" t="str">
        <f t="shared" si="30"/>
        <v/>
      </c>
      <c r="P27" s="74" t="str">
        <f t="shared" si="30"/>
        <v/>
      </c>
      <c r="Q27" s="74" t="str">
        <f t="shared" si="30"/>
        <v/>
      </c>
      <c r="R27" s="74" t="str">
        <f t="shared" si="30"/>
        <v/>
      </c>
      <c r="S27" s="74" t="str">
        <f t="shared" si="30"/>
        <v/>
      </c>
      <c r="T27" s="74" t="str">
        <f t="shared" si="30"/>
        <v/>
      </c>
      <c r="U27" s="78" t="str">
        <f t="shared" si="30"/>
        <v/>
      </c>
      <c r="V27" s="78" t="str">
        <f t="shared" si="30"/>
        <v/>
      </c>
      <c r="W27" s="74" t="str">
        <f t="shared" si="30"/>
        <v/>
      </c>
      <c r="X27" s="74" t="str">
        <f t="shared" si="30"/>
        <v/>
      </c>
      <c r="Y27" s="74" t="str">
        <f t="shared" si="31"/>
        <v/>
      </c>
      <c r="Z27" s="74" t="str">
        <f t="shared" si="31"/>
        <v/>
      </c>
      <c r="AA27" s="74" t="str">
        <f t="shared" si="31"/>
        <v/>
      </c>
      <c r="AB27" s="78" t="str">
        <f t="shared" si="31"/>
        <v/>
      </c>
      <c r="AC27" s="78" t="str">
        <f t="shared" si="31"/>
        <v/>
      </c>
      <c r="AD27" s="74" t="str">
        <f t="shared" si="31"/>
        <v/>
      </c>
      <c r="AE27" s="74" t="str">
        <f t="shared" si="31"/>
        <v/>
      </c>
      <c r="AF27" s="74" t="str">
        <f t="shared" si="31"/>
        <v/>
      </c>
      <c r="AG27" s="74" t="str">
        <f t="shared" si="31"/>
        <v/>
      </c>
      <c r="AH27" s="74" t="str">
        <f t="shared" si="31"/>
        <v/>
      </c>
      <c r="AI27" s="78" t="str">
        <f t="shared" si="32"/>
        <v/>
      </c>
      <c r="AJ27" s="78" t="str">
        <f t="shared" si="32"/>
        <v/>
      </c>
      <c r="AK27" s="74" t="str">
        <f t="shared" si="32"/>
        <v/>
      </c>
      <c r="AL27" s="74" t="str">
        <f t="shared" si="32"/>
        <v/>
      </c>
      <c r="AM27" s="74" t="str">
        <f t="shared" si="32"/>
        <v/>
      </c>
      <c r="AN27" s="74" t="str">
        <f t="shared" si="32"/>
        <v/>
      </c>
      <c r="AO27" s="74" t="str">
        <f t="shared" si="32"/>
        <v/>
      </c>
      <c r="AP27" s="78" t="str">
        <f t="shared" si="32"/>
        <v/>
      </c>
      <c r="AQ27" s="78" t="str">
        <f t="shared" si="32"/>
        <v/>
      </c>
      <c r="AR27" s="74" t="str">
        <f t="shared" si="32"/>
        <v/>
      </c>
      <c r="AS27" s="74" t="str">
        <f t="shared" si="33"/>
        <v/>
      </c>
      <c r="AT27" s="74" t="str">
        <f t="shared" si="33"/>
        <v/>
      </c>
      <c r="AU27" s="74" t="str">
        <f t="shared" si="33"/>
        <v/>
      </c>
      <c r="AV27" s="74" t="str">
        <f t="shared" si="33"/>
        <v/>
      </c>
      <c r="AW27" s="78" t="str">
        <f t="shared" si="33"/>
        <v/>
      </c>
      <c r="AX27" s="78" t="str">
        <f t="shared" si="33"/>
        <v/>
      </c>
      <c r="AY27" s="74" t="str">
        <f t="shared" si="33"/>
        <v/>
      </c>
      <c r="AZ27" s="74" t="str">
        <f t="shared" si="33"/>
        <v/>
      </c>
      <c r="BA27" s="74" t="str">
        <f t="shared" si="33"/>
        <v/>
      </c>
      <c r="BB27" s="74" t="str">
        <f t="shared" si="33"/>
        <v/>
      </c>
      <c r="BC27" s="74" t="str">
        <f t="shared" si="34"/>
        <v/>
      </c>
      <c r="BD27" s="78" t="str">
        <f t="shared" si="34"/>
        <v/>
      </c>
      <c r="BE27" s="78" t="str">
        <f t="shared" si="34"/>
        <v/>
      </c>
      <c r="BF27" s="74" t="str">
        <f t="shared" si="34"/>
        <v/>
      </c>
      <c r="BG27" s="74" t="str">
        <f t="shared" si="34"/>
        <v/>
      </c>
      <c r="BH27" s="74" t="str">
        <f t="shared" si="34"/>
        <v/>
      </c>
      <c r="BI27" s="74" t="str">
        <f t="shared" si="34"/>
        <v/>
      </c>
      <c r="BJ27" s="75">
        <f t="shared" si="34"/>
        <v>8</v>
      </c>
      <c r="BK27" s="75">
        <f t="shared" si="34"/>
        <v>8</v>
      </c>
      <c r="BL27" s="75">
        <f t="shared" si="34"/>
        <v>8</v>
      </c>
      <c r="BM27" s="75">
        <f t="shared" si="35"/>
        <v>8</v>
      </c>
      <c r="BN27" s="75">
        <f t="shared" si="35"/>
        <v>8</v>
      </c>
      <c r="BO27" s="75">
        <f t="shared" si="35"/>
        <v>8</v>
      </c>
      <c r="BP27" s="75">
        <f t="shared" si="35"/>
        <v>8</v>
      </c>
      <c r="BQ27" s="76">
        <f t="shared" si="35"/>
        <v>8</v>
      </c>
      <c r="BR27" s="76">
        <f t="shared" si="35"/>
        <v>8</v>
      </c>
      <c r="BS27" s="76">
        <f t="shared" si="35"/>
        <v>8</v>
      </c>
      <c r="BT27" s="77">
        <f t="shared" si="35"/>
        <v>8</v>
      </c>
      <c r="BU27" s="77">
        <f t="shared" si="35"/>
        <v>8</v>
      </c>
      <c r="BV27" s="77">
        <f t="shared" si="35"/>
        <v>8</v>
      </c>
      <c r="BW27" s="74" t="str">
        <f t="shared" si="36"/>
        <v/>
      </c>
      <c r="BX27" s="74" t="str">
        <f t="shared" si="36"/>
        <v/>
      </c>
      <c r="BY27" s="78" t="str">
        <f t="shared" si="36"/>
        <v/>
      </c>
      <c r="BZ27" s="78" t="str">
        <f t="shared" si="36"/>
        <v/>
      </c>
      <c r="CA27" s="74" t="str">
        <f t="shared" si="36"/>
        <v/>
      </c>
      <c r="CB27" s="74" t="str">
        <f t="shared" si="36"/>
        <v/>
      </c>
      <c r="CC27" s="74" t="str">
        <f t="shared" si="36"/>
        <v/>
      </c>
      <c r="CD27" s="74" t="str">
        <f t="shared" si="36"/>
        <v/>
      </c>
      <c r="CE27" s="74" t="str">
        <f t="shared" si="36"/>
        <v/>
      </c>
      <c r="CF27" s="78" t="str">
        <f t="shared" si="36"/>
        <v/>
      </c>
      <c r="CG27" s="78" t="str">
        <f t="shared" si="37"/>
        <v/>
      </c>
      <c r="CH27" s="74" t="str">
        <f t="shared" si="37"/>
        <v/>
      </c>
      <c r="CI27" s="74" t="str">
        <f t="shared" si="37"/>
        <v/>
      </c>
      <c r="CJ27" s="74" t="str">
        <f t="shared" si="37"/>
        <v/>
      </c>
      <c r="CK27" s="74" t="str">
        <f t="shared" si="37"/>
        <v/>
      </c>
      <c r="CL27" s="74" t="str">
        <f t="shared" si="37"/>
        <v/>
      </c>
      <c r="CM27" s="78" t="str">
        <f t="shared" si="37"/>
        <v/>
      </c>
      <c r="CN27" s="78" t="str">
        <f t="shared" si="37"/>
        <v/>
      </c>
      <c r="CO27" s="74" t="str">
        <f t="shared" si="37"/>
        <v/>
      </c>
      <c r="CP27" s="74" t="str">
        <f t="shared" si="37"/>
        <v/>
      </c>
      <c r="CQ27" s="74" t="str">
        <f t="shared" si="38"/>
        <v/>
      </c>
      <c r="CR27" s="74" t="str">
        <f t="shared" si="38"/>
        <v/>
      </c>
      <c r="CS27" s="74" t="str">
        <f t="shared" si="38"/>
        <v/>
      </c>
      <c r="CT27" s="78" t="str">
        <f t="shared" si="38"/>
        <v/>
      </c>
      <c r="CU27" s="78" t="str">
        <f t="shared" si="38"/>
        <v/>
      </c>
      <c r="CV27" s="74" t="str">
        <f t="shared" si="38"/>
        <v/>
      </c>
      <c r="CW27" s="74" t="str">
        <f t="shared" si="38"/>
        <v/>
      </c>
      <c r="CX27" s="74" t="str">
        <f t="shared" si="38"/>
        <v/>
      </c>
      <c r="CY27" s="74" t="str">
        <f t="shared" si="38"/>
        <v/>
      </c>
      <c r="CZ27" s="74" t="str">
        <f t="shared" si="38"/>
        <v/>
      </c>
      <c r="DA27" s="78" t="str">
        <f t="shared" si="39"/>
        <v/>
      </c>
      <c r="DB27" s="78" t="str">
        <f t="shared" si="39"/>
        <v/>
      </c>
      <c r="DC27" s="74" t="str">
        <f t="shared" si="39"/>
        <v/>
      </c>
      <c r="DD27" s="74" t="str">
        <f t="shared" si="39"/>
        <v/>
      </c>
      <c r="DE27" s="74" t="str">
        <f t="shared" si="39"/>
        <v/>
      </c>
      <c r="DF27" s="74" t="str">
        <f t="shared" si="39"/>
        <v/>
      </c>
      <c r="DG27" s="74" t="str">
        <f t="shared" si="39"/>
        <v/>
      </c>
      <c r="DH27" s="78" t="str">
        <f t="shared" si="39"/>
        <v/>
      </c>
      <c r="DI27" s="78" t="str">
        <f t="shared" si="39"/>
        <v/>
      </c>
      <c r="DJ27" s="74" t="str">
        <f t="shared" si="39"/>
        <v/>
      </c>
      <c r="DK27" s="74" t="str">
        <f t="shared" si="40"/>
        <v/>
      </c>
      <c r="DL27" s="74" t="str">
        <f t="shared" si="40"/>
        <v/>
      </c>
      <c r="DM27" s="74" t="str">
        <f t="shared" si="40"/>
        <v/>
      </c>
      <c r="DN27" s="74" t="str">
        <f t="shared" si="40"/>
        <v/>
      </c>
      <c r="DO27" s="78" t="str">
        <f t="shared" si="40"/>
        <v/>
      </c>
      <c r="DP27" s="78" t="str">
        <f t="shared" si="40"/>
        <v/>
      </c>
      <c r="DQ27" s="74" t="str">
        <f t="shared" si="40"/>
        <v/>
      </c>
      <c r="DR27" s="74" t="str">
        <f t="shared" si="40"/>
        <v/>
      </c>
      <c r="DS27" s="74" t="str">
        <f t="shared" si="40"/>
        <v/>
      </c>
      <c r="DT27" s="74" t="str">
        <f t="shared" si="40"/>
        <v/>
      </c>
      <c r="DU27" s="74" t="str">
        <f t="shared" si="41"/>
        <v/>
      </c>
      <c r="DV27" s="78" t="str">
        <f t="shared" si="41"/>
        <v/>
      </c>
      <c r="DW27" s="78" t="str">
        <f t="shared" si="41"/>
        <v/>
      </c>
      <c r="DX27" s="74" t="str">
        <f t="shared" si="41"/>
        <v/>
      </c>
      <c r="DY27" s="74" t="str">
        <f t="shared" si="41"/>
        <v/>
      </c>
      <c r="DZ27" s="74" t="str">
        <f t="shared" si="41"/>
        <v/>
      </c>
      <c r="EA27" s="74" t="str">
        <f t="shared" si="41"/>
        <v/>
      </c>
      <c r="EB27" s="74" t="str">
        <f t="shared" si="41"/>
        <v/>
      </c>
      <c r="EC27" s="78" t="str">
        <f t="shared" si="41"/>
        <v/>
      </c>
      <c r="ED27" s="78" t="str">
        <f t="shared" si="41"/>
        <v/>
      </c>
      <c r="EE27" s="74" t="str">
        <f t="shared" si="42"/>
        <v/>
      </c>
      <c r="EF27" s="74" t="str">
        <f t="shared" si="42"/>
        <v/>
      </c>
      <c r="EG27" s="74" t="str">
        <f t="shared" si="42"/>
        <v/>
      </c>
      <c r="EH27" s="74" t="str">
        <f t="shared" si="42"/>
        <v/>
      </c>
      <c r="EI27" s="74" t="str">
        <f t="shared" si="42"/>
        <v/>
      </c>
      <c r="EJ27" s="78" t="str">
        <f t="shared" si="42"/>
        <v/>
      </c>
      <c r="EK27" s="78" t="str">
        <f t="shared" si="42"/>
        <v/>
      </c>
      <c r="EL27" s="74" t="str">
        <f t="shared" si="42"/>
        <v/>
      </c>
      <c r="EM27" s="74" t="str">
        <f t="shared" si="42"/>
        <v/>
      </c>
      <c r="EN27" s="74" t="str">
        <f t="shared" si="42"/>
        <v/>
      </c>
      <c r="EO27" s="74" t="str">
        <f t="shared" si="43"/>
        <v/>
      </c>
      <c r="EP27" s="74" t="str">
        <f t="shared" si="43"/>
        <v/>
      </c>
      <c r="EQ27" s="78" t="str">
        <f t="shared" si="43"/>
        <v/>
      </c>
      <c r="ER27" s="78" t="str">
        <f t="shared" si="43"/>
        <v/>
      </c>
      <c r="ES27" s="74" t="str">
        <f t="shared" si="43"/>
        <v/>
      </c>
      <c r="ET27" s="74" t="str">
        <f t="shared" si="43"/>
        <v/>
      </c>
      <c r="EU27" s="74" t="str">
        <f t="shared" si="43"/>
        <v/>
      </c>
      <c r="EV27" s="74" t="str">
        <f t="shared" si="43"/>
        <v/>
      </c>
      <c r="EW27" s="74" t="str">
        <f t="shared" si="43"/>
        <v/>
      </c>
      <c r="EX27" s="78" t="str">
        <f t="shared" si="43"/>
        <v/>
      </c>
      <c r="EY27" s="78" t="str">
        <f t="shared" si="44"/>
        <v/>
      </c>
      <c r="EZ27" s="74" t="str">
        <f t="shared" si="44"/>
        <v/>
      </c>
      <c r="FA27" s="74" t="str">
        <f t="shared" si="44"/>
        <v/>
      </c>
      <c r="FB27" s="74" t="str">
        <f t="shared" si="44"/>
        <v/>
      </c>
      <c r="FC27" s="74" t="str">
        <f t="shared" si="44"/>
        <v/>
      </c>
      <c r="FD27" s="74" t="str">
        <f t="shared" si="44"/>
        <v/>
      </c>
      <c r="FE27" s="78" t="str">
        <f t="shared" si="44"/>
        <v/>
      </c>
      <c r="FF27" s="78" t="str">
        <f t="shared" si="44"/>
        <v/>
      </c>
      <c r="FG27" s="74" t="str">
        <f t="shared" si="44"/>
        <v/>
      </c>
      <c r="FH27" s="74" t="str">
        <f t="shared" si="44"/>
        <v/>
      </c>
      <c r="FI27" s="74" t="str">
        <f t="shared" si="45"/>
        <v/>
      </c>
      <c r="FJ27" s="74" t="str">
        <f t="shared" si="45"/>
        <v/>
      </c>
      <c r="FK27" s="74" t="str">
        <f t="shared" si="45"/>
        <v/>
      </c>
      <c r="FL27" s="78" t="str">
        <f t="shared" si="45"/>
        <v/>
      </c>
      <c r="FM27" s="78" t="str">
        <f t="shared" si="45"/>
        <v/>
      </c>
      <c r="FN27" s="74" t="str">
        <f t="shared" si="45"/>
        <v/>
      </c>
      <c r="FO27" s="74" t="str">
        <f t="shared" si="45"/>
        <v/>
      </c>
      <c r="FP27" s="74" t="str">
        <f t="shared" si="45"/>
        <v/>
      </c>
      <c r="FQ27" s="74" t="str">
        <f t="shared" si="45"/>
        <v/>
      </c>
      <c r="FR27" s="74" t="str">
        <f t="shared" si="45"/>
        <v/>
      </c>
      <c r="FS27" s="78" t="str">
        <f t="shared" si="46"/>
        <v/>
      </c>
      <c r="FT27" s="78" t="str">
        <f t="shared" si="46"/>
        <v/>
      </c>
      <c r="FU27" s="74" t="str">
        <f t="shared" si="46"/>
        <v/>
      </c>
      <c r="FV27" s="74" t="str">
        <f t="shared" si="46"/>
        <v/>
      </c>
      <c r="FW27" s="74" t="str">
        <f t="shared" si="46"/>
        <v/>
      </c>
      <c r="FX27" s="74" t="str">
        <f t="shared" si="46"/>
        <v/>
      </c>
      <c r="FY27" s="74" t="str">
        <f t="shared" si="46"/>
        <v/>
      </c>
      <c r="FZ27" s="78" t="str">
        <f t="shared" si="46"/>
        <v/>
      </c>
      <c r="GA27" s="78" t="str">
        <f t="shared" si="46"/>
        <v/>
      </c>
      <c r="GB27" s="74" t="str">
        <f t="shared" si="46"/>
        <v/>
      </c>
      <c r="GC27" s="74" t="str">
        <f t="shared" si="47"/>
        <v/>
      </c>
      <c r="GD27" s="74" t="str">
        <f t="shared" si="47"/>
        <v/>
      </c>
      <c r="GE27" s="74" t="str">
        <f t="shared" si="47"/>
        <v/>
      </c>
      <c r="GF27" s="74" t="str">
        <f t="shared" si="47"/>
        <v/>
      </c>
      <c r="GG27" s="78" t="str">
        <f t="shared" si="47"/>
        <v/>
      </c>
      <c r="GH27" s="78" t="str">
        <f t="shared" si="47"/>
        <v/>
      </c>
      <c r="GI27" s="74" t="str">
        <f t="shared" si="47"/>
        <v/>
      </c>
      <c r="GJ27" s="74" t="str">
        <f t="shared" si="47"/>
        <v/>
      </c>
      <c r="GK27" s="74" t="str">
        <f t="shared" si="47"/>
        <v/>
      </c>
      <c r="GL27" s="74" t="str">
        <f t="shared" si="47"/>
        <v/>
      </c>
      <c r="GM27" s="74" t="str">
        <f t="shared" si="48"/>
        <v/>
      </c>
      <c r="GN27" s="78" t="str">
        <f t="shared" si="48"/>
        <v/>
      </c>
      <c r="GO27" s="78" t="str">
        <f t="shared" si="48"/>
        <v/>
      </c>
      <c r="GP27" s="74" t="str">
        <f t="shared" si="48"/>
        <v/>
      </c>
      <c r="GQ27" s="74" t="str">
        <f t="shared" si="48"/>
        <v/>
      </c>
      <c r="GR27" s="74" t="str">
        <f t="shared" si="48"/>
        <v/>
      </c>
      <c r="GS27" s="74" t="str">
        <f t="shared" si="48"/>
        <v/>
      </c>
      <c r="GT27" s="74" t="str">
        <f t="shared" si="48"/>
        <v/>
      </c>
      <c r="GU27" s="78" t="str">
        <f t="shared" si="48"/>
        <v/>
      </c>
      <c r="GV27" s="78" t="str">
        <f t="shared" si="48"/>
        <v/>
      </c>
      <c r="GW27" s="74" t="str">
        <f t="shared" si="49"/>
        <v/>
      </c>
      <c r="GX27" s="74" t="str">
        <f t="shared" si="49"/>
        <v/>
      </c>
      <c r="GY27" s="74" t="str">
        <f t="shared" si="49"/>
        <v/>
      </c>
      <c r="GZ27" s="74" t="str">
        <f t="shared" si="49"/>
        <v/>
      </c>
      <c r="HA27" s="74" t="str">
        <f t="shared" si="49"/>
        <v/>
      </c>
      <c r="HB27" s="78" t="str">
        <f t="shared" si="49"/>
        <v/>
      </c>
      <c r="HC27" s="78" t="str">
        <f t="shared" si="49"/>
        <v/>
      </c>
      <c r="HD27" s="74" t="str">
        <f t="shared" si="49"/>
        <v/>
      </c>
      <c r="HE27" s="74" t="str">
        <f t="shared" si="49"/>
        <v/>
      </c>
      <c r="HF27" s="74" t="str">
        <f t="shared" si="49"/>
        <v/>
      </c>
      <c r="HG27" s="74" t="str">
        <f t="shared" si="49"/>
        <v/>
      </c>
      <c r="HH27" s="74" t="str">
        <f t="shared" si="49"/>
        <v/>
      </c>
    </row>
    <row r="28" spans="1:216" x14ac:dyDescent="0.2">
      <c r="A28" s="82" t="str">
        <f>'FY1 Event Pipeline'!A11</f>
        <v>MOTN AUH</v>
      </c>
      <c r="B28" s="83">
        <f>_xlfn.XLOOKUP(A28,'FY1 Event Pipeline'!$A$4:$A$15,'FY1 Event Pipeline'!$H$4:$H$15)</f>
        <v>46346</v>
      </c>
      <c r="C28" s="83">
        <f>_xlfn.XLOOKUP(A28,'FY1 Event Pipeline'!$A$4:$A$15,'FY1 Event Pipeline'!$J$4:$J$15)</f>
        <v>46398</v>
      </c>
      <c r="D28" s="84">
        <f>_xlfn.XLOOKUP(A28,'FY1 Event Pipeline'!$A$4:$A$15,'FY1 Event Pipeline'!$O$4:$O$15)</f>
        <v>10</v>
      </c>
      <c r="E28" s="74" t="str">
        <f t="shared" si="29"/>
        <v/>
      </c>
      <c r="F28" s="74" t="str">
        <f t="shared" si="29"/>
        <v/>
      </c>
      <c r="G28" s="78" t="str">
        <f t="shared" si="29"/>
        <v/>
      </c>
      <c r="H28" s="78" t="str">
        <f t="shared" si="29"/>
        <v/>
      </c>
      <c r="I28" s="74" t="str">
        <f t="shared" si="29"/>
        <v/>
      </c>
      <c r="J28" s="74" t="str">
        <f t="shared" si="29"/>
        <v/>
      </c>
      <c r="K28" s="74" t="str">
        <f t="shared" si="29"/>
        <v/>
      </c>
      <c r="L28" s="74" t="str">
        <f t="shared" si="29"/>
        <v/>
      </c>
      <c r="M28" s="74" t="str">
        <f t="shared" si="29"/>
        <v/>
      </c>
      <c r="N28" s="78" t="str">
        <f t="shared" si="29"/>
        <v/>
      </c>
      <c r="O28" s="78" t="str">
        <f t="shared" si="30"/>
        <v/>
      </c>
      <c r="P28" s="74" t="str">
        <f t="shared" si="30"/>
        <v/>
      </c>
      <c r="Q28" s="74" t="str">
        <f t="shared" si="30"/>
        <v/>
      </c>
      <c r="R28" s="74" t="str">
        <f t="shared" si="30"/>
        <v/>
      </c>
      <c r="S28" s="74" t="str">
        <f t="shared" si="30"/>
        <v/>
      </c>
      <c r="T28" s="74" t="str">
        <f t="shared" si="30"/>
        <v/>
      </c>
      <c r="U28" s="78" t="str">
        <f t="shared" si="30"/>
        <v/>
      </c>
      <c r="V28" s="78" t="str">
        <f t="shared" si="30"/>
        <v/>
      </c>
      <c r="W28" s="74" t="str">
        <f t="shared" si="30"/>
        <v/>
      </c>
      <c r="X28" s="74" t="str">
        <f t="shared" si="30"/>
        <v/>
      </c>
      <c r="Y28" s="74" t="str">
        <f t="shared" si="31"/>
        <v/>
      </c>
      <c r="Z28" s="74" t="str">
        <f t="shared" si="31"/>
        <v/>
      </c>
      <c r="AA28" s="74" t="str">
        <f t="shared" si="31"/>
        <v/>
      </c>
      <c r="AB28" s="78" t="str">
        <f t="shared" si="31"/>
        <v/>
      </c>
      <c r="AC28" s="78" t="str">
        <f t="shared" si="31"/>
        <v/>
      </c>
      <c r="AD28" s="74" t="str">
        <f t="shared" si="31"/>
        <v/>
      </c>
      <c r="AE28" s="74" t="str">
        <f t="shared" si="31"/>
        <v/>
      </c>
      <c r="AF28" s="74" t="str">
        <f t="shared" si="31"/>
        <v/>
      </c>
      <c r="AG28" s="74" t="str">
        <f t="shared" si="31"/>
        <v/>
      </c>
      <c r="AH28" s="74" t="str">
        <f t="shared" si="31"/>
        <v/>
      </c>
      <c r="AI28" s="78" t="str">
        <f t="shared" si="32"/>
        <v/>
      </c>
      <c r="AJ28" s="78" t="str">
        <f t="shared" si="32"/>
        <v/>
      </c>
      <c r="AK28" s="74" t="str">
        <f t="shared" si="32"/>
        <v/>
      </c>
      <c r="AL28" s="74" t="str">
        <f t="shared" si="32"/>
        <v/>
      </c>
      <c r="AM28" s="74" t="str">
        <f t="shared" si="32"/>
        <v/>
      </c>
      <c r="AN28" s="74" t="str">
        <f t="shared" si="32"/>
        <v/>
      </c>
      <c r="AO28" s="74" t="str">
        <f t="shared" si="32"/>
        <v/>
      </c>
      <c r="AP28" s="78" t="str">
        <f t="shared" si="32"/>
        <v/>
      </c>
      <c r="AQ28" s="78" t="str">
        <f t="shared" si="32"/>
        <v/>
      </c>
      <c r="AR28" s="74" t="str">
        <f t="shared" si="32"/>
        <v/>
      </c>
      <c r="AS28" s="74" t="str">
        <f t="shared" si="33"/>
        <v/>
      </c>
      <c r="AT28" s="74" t="str">
        <f t="shared" si="33"/>
        <v/>
      </c>
      <c r="AU28" s="74" t="str">
        <f t="shared" si="33"/>
        <v/>
      </c>
      <c r="AV28" s="74" t="str">
        <f t="shared" si="33"/>
        <v/>
      </c>
      <c r="AW28" s="78" t="str">
        <f t="shared" si="33"/>
        <v/>
      </c>
      <c r="AX28" s="78" t="str">
        <f t="shared" si="33"/>
        <v/>
      </c>
      <c r="AY28" s="74" t="str">
        <f t="shared" si="33"/>
        <v/>
      </c>
      <c r="AZ28" s="74" t="str">
        <f t="shared" si="33"/>
        <v/>
      </c>
      <c r="BA28" s="74" t="str">
        <f t="shared" si="33"/>
        <v/>
      </c>
      <c r="BB28" s="74" t="str">
        <f t="shared" si="33"/>
        <v/>
      </c>
      <c r="BC28" s="75">
        <f t="shared" si="34"/>
        <v>10</v>
      </c>
      <c r="BD28" s="75">
        <f t="shared" si="34"/>
        <v>10</v>
      </c>
      <c r="BE28" s="75">
        <f t="shared" si="34"/>
        <v>10</v>
      </c>
      <c r="BF28" s="75">
        <f t="shared" si="34"/>
        <v>10</v>
      </c>
      <c r="BG28" s="75">
        <f t="shared" si="34"/>
        <v>10</v>
      </c>
      <c r="BH28" s="75">
        <f t="shared" si="34"/>
        <v>10</v>
      </c>
      <c r="BI28" s="75">
        <f t="shared" si="34"/>
        <v>10</v>
      </c>
      <c r="BJ28" s="75">
        <f t="shared" si="34"/>
        <v>10</v>
      </c>
      <c r="BK28" s="75">
        <f t="shared" si="34"/>
        <v>10</v>
      </c>
      <c r="BL28" s="75">
        <f t="shared" si="34"/>
        <v>10</v>
      </c>
      <c r="BM28" s="75">
        <f t="shared" si="35"/>
        <v>10</v>
      </c>
      <c r="BN28" s="75">
        <f t="shared" si="35"/>
        <v>10</v>
      </c>
      <c r="BO28" s="75">
        <f t="shared" si="35"/>
        <v>10</v>
      </c>
      <c r="BP28" s="75">
        <f t="shared" si="35"/>
        <v>10</v>
      </c>
      <c r="BQ28" s="75">
        <f t="shared" si="35"/>
        <v>10</v>
      </c>
      <c r="BR28" s="75">
        <f t="shared" si="35"/>
        <v>10</v>
      </c>
      <c r="BS28" s="75">
        <f t="shared" si="35"/>
        <v>10</v>
      </c>
      <c r="BT28" s="75">
        <f t="shared" si="35"/>
        <v>10</v>
      </c>
      <c r="BU28" s="75">
        <f t="shared" si="35"/>
        <v>10</v>
      </c>
      <c r="BV28" s="75">
        <f t="shared" si="35"/>
        <v>10</v>
      </c>
      <c r="BW28" s="76">
        <f t="shared" si="36"/>
        <v>10</v>
      </c>
      <c r="BX28" s="76">
        <f t="shared" si="36"/>
        <v>10</v>
      </c>
      <c r="BY28" s="76">
        <f t="shared" si="36"/>
        <v>10</v>
      </c>
      <c r="BZ28" s="76">
        <f t="shared" si="36"/>
        <v>10</v>
      </c>
      <c r="CA28" s="76">
        <f t="shared" si="36"/>
        <v>10</v>
      </c>
      <c r="CB28" s="76">
        <f t="shared" si="36"/>
        <v>10</v>
      </c>
      <c r="CC28" s="76">
        <f t="shared" si="36"/>
        <v>10</v>
      </c>
      <c r="CD28" s="76">
        <f t="shared" si="36"/>
        <v>10</v>
      </c>
      <c r="CE28" s="76">
        <f t="shared" si="36"/>
        <v>10</v>
      </c>
      <c r="CF28" s="76">
        <f t="shared" si="36"/>
        <v>10</v>
      </c>
      <c r="CG28" s="76">
        <f t="shared" si="37"/>
        <v>10</v>
      </c>
      <c r="CH28" s="76">
        <f t="shared" si="37"/>
        <v>10</v>
      </c>
      <c r="CI28" s="76">
        <f t="shared" si="37"/>
        <v>10</v>
      </c>
      <c r="CJ28" s="76">
        <f t="shared" si="37"/>
        <v>10</v>
      </c>
      <c r="CK28" s="76">
        <f t="shared" si="37"/>
        <v>10</v>
      </c>
      <c r="CL28" s="76">
        <f t="shared" si="37"/>
        <v>10</v>
      </c>
      <c r="CM28" s="76">
        <f t="shared" si="37"/>
        <v>10</v>
      </c>
      <c r="CN28" s="76">
        <f t="shared" si="37"/>
        <v>10</v>
      </c>
      <c r="CO28" s="76">
        <f t="shared" si="37"/>
        <v>10</v>
      </c>
      <c r="CP28" s="76">
        <f t="shared" si="37"/>
        <v>10</v>
      </c>
      <c r="CQ28" s="76">
        <f t="shared" si="38"/>
        <v>10</v>
      </c>
      <c r="CR28" s="76">
        <f t="shared" si="38"/>
        <v>10</v>
      </c>
      <c r="CS28" s="76">
        <f t="shared" si="38"/>
        <v>10</v>
      </c>
      <c r="CT28" s="76">
        <f t="shared" si="38"/>
        <v>10</v>
      </c>
      <c r="CU28" s="76">
        <f t="shared" si="38"/>
        <v>10</v>
      </c>
      <c r="CV28" s="76">
        <f t="shared" si="38"/>
        <v>10</v>
      </c>
      <c r="CW28" s="77">
        <f t="shared" si="38"/>
        <v>10</v>
      </c>
      <c r="CX28" s="77">
        <f t="shared" si="38"/>
        <v>10</v>
      </c>
      <c r="CY28" s="77">
        <f t="shared" si="38"/>
        <v>10</v>
      </c>
      <c r="CZ28" s="77">
        <f t="shared" si="38"/>
        <v>10</v>
      </c>
      <c r="DA28" s="77">
        <f t="shared" si="39"/>
        <v>10</v>
      </c>
      <c r="DB28" s="77">
        <f t="shared" si="39"/>
        <v>10</v>
      </c>
      <c r="DC28" s="77">
        <f t="shared" si="39"/>
        <v>10</v>
      </c>
      <c r="DD28" s="74" t="str">
        <f t="shared" si="39"/>
        <v/>
      </c>
      <c r="DE28" s="74" t="str">
        <f t="shared" si="39"/>
        <v/>
      </c>
      <c r="DF28" s="74" t="str">
        <f t="shared" si="39"/>
        <v/>
      </c>
      <c r="DG28" s="74" t="str">
        <f t="shared" si="39"/>
        <v/>
      </c>
      <c r="DH28" s="78" t="str">
        <f t="shared" si="39"/>
        <v/>
      </c>
      <c r="DI28" s="78" t="str">
        <f t="shared" si="39"/>
        <v/>
      </c>
      <c r="DJ28" s="74" t="str">
        <f t="shared" si="39"/>
        <v/>
      </c>
      <c r="DK28" s="74" t="str">
        <f t="shared" si="40"/>
        <v/>
      </c>
      <c r="DL28" s="74" t="str">
        <f t="shared" si="40"/>
        <v/>
      </c>
      <c r="DM28" s="74" t="str">
        <f t="shared" si="40"/>
        <v/>
      </c>
      <c r="DN28" s="74" t="str">
        <f t="shared" si="40"/>
        <v/>
      </c>
      <c r="DO28" s="78" t="str">
        <f t="shared" si="40"/>
        <v/>
      </c>
      <c r="DP28" s="78" t="str">
        <f t="shared" si="40"/>
        <v/>
      </c>
      <c r="DQ28" s="74" t="str">
        <f t="shared" si="40"/>
        <v/>
      </c>
      <c r="DR28" s="74" t="str">
        <f t="shared" si="40"/>
        <v/>
      </c>
      <c r="DS28" s="74" t="str">
        <f t="shared" si="40"/>
        <v/>
      </c>
      <c r="DT28" s="74" t="str">
        <f t="shared" si="40"/>
        <v/>
      </c>
      <c r="DU28" s="74" t="str">
        <f t="shared" si="41"/>
        <v/>
      </c>
      <c r="DV28" s="78" t="str">
        <f t="shared" si="41"/>
        <v/>
      </c>
      <c r="DW28" s="78" t="str">
        <f t="shared" si="41"/>
        <v/>
      </c>
      <c r="DX28" s="74" t="str">
        <f t="shared" si="41"/>
        <v/>
      </c>
      <c r="DY28" s="74" t="str">
        <f t="shared" si="41"/>
        <v/>
      </c>
      <c r="DZ28" s="74" t="str">
        <f t="shared" si="41"/>
        <v/>
      </c>
      <c r="EA28" s="74" t="str">
        <f t="shared" si="41"/>
        <v/>
      </c>
      <c r="EB28" s="74" t="str">
        <f t="shared" si="41"/>
        <v/>
      </c>
      <c r="EC28" s="78" t="str">
        <f t="shared" si="41"/>
        <v/>
      </c>
      <c r="ED28" s="78" t="str">
        <f t="shared" si="41"/>
        <v/>
      </c>
      <c r="EE28" s="74" t="str">
        <f t="shared" si="42"/>
        <v/>
      </c>
      <c r="EF28" s="74" t="str">
        <f t="shared" si="42"/>
        <v/>
      </c>
      <c r="EG28" s="74" t="str">
        <f t="shared" si="42"/>
        <v/>
      </c>
      <c r="EH28" s="74" t="str">
        <f t="shared" si="42"/>
        <v/>
      </c>
      <c r="EI28" s="74" t="str">
        <f t="shared" si="42"/>
        <v/>
      </c>
      <c r="EJ28" s="78" t="str">
        <f t="shared" si="42"/>
        <v/>
      </c>
      <c r="EK28" s="78" t="str">
        <f t="shared" si="42"/>
        <v/>
      </c>
      <c r="EL28" s="74" t="str">
        <f t="shared" si="42"/>
        <v/>
      </c>
      <c r="EM28" s="74" t="str">
        <f t="shared" si="42"/>
        <v/>
      </c>
      <c r="EN28" s="74" t="str">
        <f t="shared" si="42"/>
        <v/>
      </c>
      <c r="EO28" s="74" t="str">
        <f t="shared" si="43"/>
        <v/>
      </c>
      <c r="EP28" s="74" t="str">
        <f t="shared" si="43"/>
        <v/>
      </c>
      <c r="EQ28" s="78" t="str">
        <f t="shared" si="43"/>
        <v/>
      </c>
      <c r="ER28" s="78" t="str">
        <f t="shared" si="43"/>
        <v/>
      </c>
      <c r="ES28" s="74" t="str">
        <f t="shared" si="43"/>
        <v/>
      </c>
      <c r="ET28" s="74" t="str">
        <f t="shared" si="43"/>
        <v/>
      </c>
      <c r="EU28" s="74" t="str">
        <f t="shared" si="43"/>
        <v/>
      </c>
      <c r="EV28" s="74" t="str">
        <f t="shared" si="43"/>
        <v/>
      </c>
      <c r="EW28" s="74" t="str">
        <f t="shared" si="43"/>
        <v/>
      </c>
      <c r="EX28" s="78" t="str">
        <f t="shared" si="43"/>
        <v/>
      </c>
      <c r="EY28" s="78" t="str">
        <f t="shared" si="44"/>
        <v/>
      </c>
      <c r="EZ28" s="74" t="str">
        <f t="shared" si="44"/>
        <v/>
      </c>
      <c r="FA28" s="74" t="str">
        <f t="shared" si="44"/>
        <v/>
      </c>
      <c r="FB28" s="74" t="str">
        <f t="shared" si="44"/>
        <v/>
      </c>
      <c r="FC28" s="74" t="str">
        <f t="shared" si="44"/>
        <v/>
      </c>
      <c r="FD28" s="74" t="str">
        <f t="shared" si="44"/>
        <v/>
      </c>
      <c r="FE28" s="78" t="str">
        <f t="shared" si="44"/>
        <v/>
      </c>
      <c r="FF28" s="78" t="str">
        <f t="shared" si="44"/>
        <v/>
      </c>
      <c r="FG28" s="74" t="str">
        <f t="shared" si="44"/>
        <v/>
      </c>
      <c r="FH28" s="74" t="str">
        <f t="shared" si="44"/>
        <v/>
      </c>
      <c r="FI28" s="74" t="str">
        <f t="shared" si="45"/>
        <v/>
      </c>
      <c r="FJ28" s="74" t="str">
        <f t="shared" si="45"/>
        <v/>
      </c>
      <c r="FK28" s="74" t="str">
        <f t="shared" si="45"/>
        <v/>
      </c>
      <c r="FL28" s="78" t="str">
        <f t="shared" si="45"/>
        <v/>
      </c>
      <c r="FM28" s="78" t="str">
        <f t="shared" si="45"/>
        <v/>
      </c>
      <c r="FN28" s="74" t="str">
        <f t="shared" si="45"/>
        <v/>
      </c>
      <c r="FO28" s="74" t="str">
        <f t="shared" si="45"/>
        <v/>
      </c>
      <c r="FP28" s="74" t="str">
        <f t="shared" si="45"/>
        <v/>
      </c>
      <c r="FQ28" s="74" t="str">
        <f t="shared" si="45"/>
        <v/>
      </c>
      <c r="FR28" s="74" t="str">
        <f t="shared" si="45"/>
        <v/>
      </c>
      <c r="FS28" s="78" t="str">
        <f t="shared" si="46"/>
        <v/>
      </c>
      <c r="FT28" s="78" t="str">
        <f t="shared" si="46"/>
        <v/>
      </c>
      <c r="FU28" s="74" t="str">
        <f t="shared" si="46"/>
        <v/>
      </c>
      <c r="FV28" s="74" t="str">
        <f t="shared" si="46"/>
        <v/>
      </c>
      <c r="FW28" s="74" t="str">
        <f t="shared" si="46"/>
        <v/>
      </c>
      <c r="FX28" s="74" t="str">
        <f t="shared" si="46"/>
        <v/>
      </c>
      <c r="FY28" s="74" t="str">
        <f t="shared" si="46"/>
        <v/>
      </c>
      <c r="FZ28" s="78" t="str">
        <f t="shared" si="46"/>
        <v/>
      </c>
      <c r="GA28" s="78" t="str">
        <f t="shared" si="46"/>
        <v/>
      </c>
      <c r="GB28" s="74" t="str">
        <f t="shared" si="46"/>
        <v/>
      </c>
      <c r="GC28" s="74" t="str">
        <f t="shared" si="47"/>
        <v/>
      </c>
      <c r="GD28" s="74" t="str">
        <f t="shared" si="47"/>
        <v/>
      </c>
      <c r="GE28" s="74" t="str">
        <f t="shared" si="47"/>
        <v/>
      </c>
      <c r="GF28" s="74" t="str">
        <f t="shared" si="47"/>
        <v/>
      </c>
      <c r="GG28" s="78" t="str">
        <f t="shared" si="47"/>
        <v/>
      </c>
      <c r="GH28" s="78" t="str">
        <f t="shared" si="47"/>
        <v/>
      </c>
      <c r="GI28" s="74" t="str">
        <f t="shared" si="47"/>
        <v/>
      </c>
      <c r="GJ28" s="74" t="str">
        <f t="shared" si="47"/>
        <v/>
      </c>
      <c r="GK28" s="74" t="str">
        <f t="shared" si="47"/>
        <v/>
      </c>
      <c r="GL28" s="74" t="str">
        <f t="shared" si="47"/>
        <v/>
      </c>
      <c r="GM28" s="74" t="str">
        <f t="shared" si="48"/>
        <v/>
      </c>
      <c r="GN28" s="78" t="str">
        <f t="shared" si="48"/>
        <v/>
      </c>
      <c r="GO28" s="78" t="str">
        <f t="shared" si="48"/>
        <v/>
      </c>
      <c r="GP28" s="74" t="str">
        <f t="shared" si="48"/>
        <v/>
      </c>
      <c r="GQ28" s="74" t="str">
        <f t="shared" si="48"/>
        <v/>
      </c>
      <c r="GR28" s="74" t="str">
        <f t="shared" si="48"/>
        <v/>
      </c>
      <c r="GS28" s="74" t="str">
        <f t="shared" si="48"/>
        <v/>
      </c>
      <c r="GT28" s="74" t="str">
        <f t="shared" si="48"/>
        <v/>
      </c>
      <c r="GU28" s="78" t="str">
        <f t="shared" si="48"/>
        <v/>
      </c>
      <c r="GV28" s="78" t="str">
        <f t="shared" si="48"/>
        <v/>
      </c>
      <c r="GW28" s="74" t="str">
        <f t="shared" si="49"/>
        <v/>
      </c>
      <c r="GX28" s="74" t="str">
        <f t="shared" si="49"/>
        <v/>
      </c>
      <c r="GY28" s="74" t="str">
        <f t="shared" si="49"/>
        <v/>
      </c>
      <c r="GZ28" s="74" t="str">
        <f t="shared" si="49"/>
        <v/>
      </c>
      <c r="HA28" s="74" t="str">
        <f t="shared" si="49"/>
        <v/>
      </c>
      <c r="HB28" s="78" t="str">
        <f t="shared" si="49"/>
        <v/>
      </c>
      <c r="HC28" s="78" t="str">
        <f t="shared" si="49"/>
        <v/>
      </c>
      <c r="HD28" s="74" t="str">
        <f t="shared" si="49"/>
        <v/>
      </c>
      <c r="HE28" s="74" t="str">
        <f t="shared" si="49"/>
        <v/>
      </c>
      <c r="HF28" s="74" t="str">
        <f t="shared" si="49"/>
        <v/>
      </c>
      <c r="HG28" s="74" t="str">
        <f t="shared" si="49"/>
        <v/>
      </c>
      <c r="HH28" s="74" t="str">
        <f t="shared" si="49"/>
        <v/>
      </c>
    </row>
    <row r="29" spans="1:216" x14ac:dyDescent="0.2">
      <c r="A29" s="82" t="str">
        <f>'FY1 Event Pipeline'!A12</f>
        <v>Yas Winterfest</v>
      </c>
      <c r="B29" s="83">
        <f>_xlfn.XLOOKUP(A29,'FY1 Event Pipeline'!$A$4:$A$15,'FY1 Event Pipeline'!$H$4:$H$15)</f>
        <v>46352</v>
      </c>
      <c r="C29" s="83">
        <f>_xlfn.XLOOKUP(A29,'FY1 Event Pipeline'!$A$4:$A$15,'FY1 Event Pipeline'!$J$4:$J$15)</f>
        <v>46384</v>
      </c>
      <c r="D29" s="84">
        <f>_xlfn.XLOOKUP(A29,'FY1 Event Pipeline'!$A$4:$A$15,'FY1 Event Pipeline'!$O$4:$O$15)</f>
        <v>4</v>
      </c>
      <c r="E29" s="74" t="str">
        <f t="shared" si="29"/>
        <v/>
      </c>
      <c r="F29" s="74" t="str">
        <f t="shared" si="29"/>
        <v/>
      </c>
      <c r="G29" s="78" t="str">
        <f t="shared" si="29"/>
        <v/>
      </c>
      <c r="H29" s="78" t="str">
        <f t="shared" si="29"/>
        <v/>
      </c>
      <c r="I29" s="74" t="str">
        <f t="shared" si="29"/>
        <v/>
      </c>
      <c r="J29" s="74" t="str">
        <f t="shared" si="29"/>
        <v/>
      </c>
      <c r="K29" s="74" t="str">
        <f t="shared" si="29"/>
        <v/>
      </c>
      <c r="L29" s="74" t="str">
        <f t="shared" si="29"/>
        <v/>
      </c>
      <c r="M29" s="74" t="str">
        <f t="shared" si="29"/>
        <v/>
      </c>
      <c r="N29" s="78" t="str">
        <f t="shared" si="29"/>
        <v/>
      </c>
      <c r="O29" s="78" t="str">
        <f t="shared" si="30"/>
        <v/>
      </c>
      <c r="P29" s="74" t="str">
        <f t="shared" si="30"/>
        <v/>
      </c>
      <c r="Q29" s="74" t="str">
        <f t="shared" si="30"/>
        <v/>
      </c>
      <c r="R29" s="74" t="str">
        <f t="shared" si="30"/>
        <v/>
      </c>
      <c r="S29" s="74" t="str">
        <f t="shared" si="30"/>
        <v/>
      </c>
      <c r="T29" s="74" t="str">
        <f t="shared" si="30"/>
        <v/>
      </c>
      <c r="U29" s="78" t="str">
        <f t="shared" si="30"/>
        <v/>
      </c>
      <c r="V29" s="78" t="str">
        <f t="shared" si="30"/>
        <v/>
      </c>
      <c r="W29" s="74" t="str">
        <f t="shared" si="30"/>
        <v/>
      </c>
      <c r="X29" s="74" t="str">
        <f t="shared" si="30"/>
        <v/>
      </c>
      <c r="Y29" s="74" t="str">
        <f t="shared" si="31"/>
        <v/>
      </c>
      <c r="Z29" s="74" t="str">
        <f t="shared" si="31"/>
        <v/>
      </c>
      <c r="AA29" s="74" t="str">
        <f t="shared" si="31"/>
        <v/>
      </c>
      <c r="AB29" s="78" t="str">
        <f t="shared" si="31"/>
        <v/>
      </c>
      <c r="AC29" s="78" t="str">
        <f t="shared" si="31"/>
        <v/>
      </c>
      <c r="AD29" s="74" t="str">
        <f t="shared" si="31"/>
        <v/>
      </c>
      <c r="AE29" s="74" t="str">
        <f t="shared" si="31"/>
        <v/>
      </c>
      <c r="AF29" s="74" t="str">
        <f t="shared" si="31"/>
        <v/>
      </c>
      <c r="AG29" s="74" t="str">
        <f t="shared" si="31"/>
        <v/>
      </c>
      <c r="AH29" s="74" t="str">
        <f t="shared" si="31"/>
        <v/>
      </c>
      <c r="AI29" s="78" t="str">
        <f t="shared" si="32"/>
        <v/>
      </c>
      <c r="AJ29" s="78" t="str">
        <f t="shared" si="32"/>
        <v/>
      </c>
      <c r="AK29" s="74" t="str">
        <f t="shared" si="32"/>
        <v/>
      </c>
      <c r="AL29" s="74" t="str">
        <f t="shared" si="32"/>
        <v/>
      </c>
      <c r="AM29" s="74" t="str">
        <f t="shared" si="32"/>
        <v/>
      </c>
      <c r="AN29" s="74" t="str">
        <f t="shared" si="32"/>
        <v/>
      </c>
      <c r="AO29" s="74" t="str">
        <f t="shared" si="32"/>
        <v/>
      </c>
      <c r="AP29" s="78" t="str">
        <f t="shared" si="32"/>
        <v/>
      </c>
      <c r="AQ29" s="78" t="str">
        <f t="shared" si="32"/>
        <v/>
      </c>
      <c r="AR29" s="74" t="str">
        <f t="shared" si="32"/>
        <v/>
      </c>
      <c r="AS29" s="74" t="str">
        <f t="shared" si="33"/>
        <v/>
      </c>
      <c r="AT29" s="74" t="str">
        <f t="shared" si="33"/>
        <v/>
      </c>
      <c r="AU29" s="74" t="str">
        <f t="shared" si="33"/>
        <v/>
      </c>
      <c r="AV29" s="74" t="str">
        <f t="shared" si="33"/>
        <v/>
      </c>
      <c r="AW29" s="78" t="str">
        <f t="shared" si="33"/>
        <v/>
      </c>
      <c r="AX29" s="78" t="str">
        <f t="shared" si="33"/>
        <v/>
      </c>
      <c r="AY29" s="74" t="str">
        <f t="shared" si="33"/>
        <v/>
      </c>
      <c r="AZ29" s="74" t="str">
        <f t="shared" si="33"/>
        <v/>
      </c>
      <c r="BA29" s="74" t="str">
        <f t="shared" si="33"/>
        <v/>
      </c>
      <c r="BB29" s="74" t="str">
        <f t="shared" si="33"/>
        <v/>
      </c>
      <c r="BC29" s="74" t="str">
        <f t="shared" si="34"/>
        <v/>
      </c>
      <c r="BD29" s="78" t="str">
        <f t="shared" si="34"/>
        <v/>
      </c>
      <c r="BE29" s="78" t="str">
        <f t="shared" si="34"/>
        <v/>
      </c>
      <c r="BF29" s="74" t="str">
        <f t="shared" si="34"/>
        <v/>
      </c>
      <c r="BG29" s="74" t="str">
        <f t="shared" si="34"/>
        <v/>
      </c>
      <c r="BH29" s="74" t="str">
        <f t="shared" si="34"/>
        <v/>
      </c>
      <c r="BI29" s="75">
        <f t="shared" si="34"/>
        <v>4</v>
      </c>
      <c r="BJ29" s="75">
        <f t="shared" si="34"/>
        <v>4</v>
      </c>
      <c r="BK29" s="75">
        <f t="shared" si="34"/>
        <v>4</v>
      </c>
      <c r="BL29" s="75">
        <f t="shared" si="34"/>
        <v>4</v>
      </c>
      <c r="BM29" s="75">
        <f t="shared" si="35"/>
        <v>4</v>
      </c>
      <c r="BN29" s="75">
        <f t="shared" si="35"/>
        <v>4</v>
      </c>
      <c r="BO29" s="75">
        <f t="shared" si="35"/>
        <v>4</v>
      </c>
      <c r="BP29" s="75">
        <f t="shared" si="35"/>
        <v>4</v>
      </c>
      <c r="BQ29" s="75">
        <f t="shared" si="35"/>
        <v>4</v>
      </c>
      <c r="BR29" s="75">
        <f t="shared" si="35"/>
        <v>4</v>
      </c>
      <c r="BS29" s="75">
        <f t="shared" si="35"/>
        <v>4</v>
      </c>
      <c r="BT29" s="75">
        <f t="shared" si="35"/>
        <v>4</v>
      </c>
      <c r="BU29" s="75">
        <f t="shared" si="35"/>
        <v>4</v>
      </c>
      <c r="BV29" s="75">
        <f t="shared" si="35"/>
        <v>4</v>
      </c>
      <c r="BW29" s="75">
        <f t="shared" si="36"/>
        <v>4</v>
      </c>
      <c r="BX29" s="76">
        <f t="shared" si="36"/>
        <v>4</v>
      </c>
      <c r="BY29" s="76">
        <f t="shared" si="36"/>
        <v>4</v>
      </c>
      <c r="BZ29" s="76">
        <f t="shared" si="36"/>
        <v>4</v>
      </c>
      <c r="CA29" s="76">
        <f t="shared" si="36"/>
        <v>4</v>
      </c>
      <c r="CB29" s="76">
        <f t="shared" si="36"/>
        <v>4</v>
      </c>
      <c r="CC29" s="76">
        <f t="shared" si="36"/>
        <v>4</v>
      </c>
      <c r="CD29" s="76">
        <f t="shared" si="36"/>
        <v>4</v>
      </c>
      <c r="CE29" s="76">
        <f t="shared" si="36"/>
        <v>4</v>
      </c>
      <c r="CF29" s="76">
        <f t="shared" si="36"/>
        <v>4</v>
      </c>
      <c r="CG29" s="76">
        <f t="shared" si="37"/>
        <v>4</v>
      </c>
      <c r="CH29" s="76">
        <f t="shared" si="37"/>
        <v>4</v>
      </c>
      <c r="CI29" s="77">
        <f t="shared" si="37"/>
        <v>4</v>
      </c>
      <c r="CJ29" s="77">
        <f t="shared" si="37"/>
        <v>4</v>
      </c>
      <c r="CK29" s="77">
        <f t="shared" si="37"/>
        <v>4</v>
      </c>
      <c r="CL29" s="77">
        <f t="shared" si="37"/>
        <v>4</v>
      </c>
      <c r="CM29" s="77">
        <f t="shared" si="37"/>
        <v>4</v>
      </c>
      <c r="CN29" s="77">
        <f t="shared" si="37"/>
        <v>4</v>
      </c>
      <c r="CO29" s="77">
        <f t="shared" si="37"/>
        <v>4</v>
      </c>
      <c r="CP29" s="74" t="str">
        <f t="shared" si="37"/>
        <v/>
      </c>
      <c r="CQ29" s="74" t="str">
        <f t="shared" si="38"/>
        <v/>
      </c>
      <c r="CR29" s="74" t="str">
        <f t="shared" si="38"/>
        <v/>
      </c>
      <c r="CS29" s="74" t="str">
        <f t="shared" si="38"/>
        <v/>
      </c>
      <c r="CT29" s="78" t="str">
        <f t="shared" si="38"/>
        <v/>
      </c>
      <c r="CU29" s="78" t="str">
        <f t="shared" si="38"/>
        <v/>
      </c>
      <c r="CV29" s="74" t="str">
        <f t="shared" si="38"/>
        <v/>
      </c>
      <c r="CW29" s="74" t="str">
        <f t="shared" si="38"/>
        <v/>
      </c>
      <c r="CX29" s="74" t="str">
        <f t="shared" si="38"/>
        <v/>
      </c>
      <c r="CY29" s="74" t="str">
        <f t="shared" si="38"/>
        <v/>
      </c>
      <c r="CZ29" s="74" t="str">
        <f t="shared" si="38"/>
        <v/>
      </c>
      <c r="DA29" s="78" t="str">
        <f t="shared" si="39"/>
        <v/>
      </c>
      <c r="DB29" s="78" t="str">
        <f t="shared" si="39"/>
        <v/>
      </c>
      <c r="DC29" s="74" t="str">
        <f t="shared" si="39"/>
        <v/>
      </c>
      <c r="DD29" s="74" t="str">
        <f t="shared" si="39"/>
        <v/>
      </c>
      <c r="DE29" s="74" t="str">
        <f t="shared" si="39"/>
        <v/>
      </c>
      <c r="DF29" s="74" t="str">
        <f t="shared" si="39"/>
        <v/>
      </c>
      <c r="DG29" s="74" t="str">
        <f t="shared" si="39"/>
        <v/>
      </c>
      <c r="DH29" s="78" t="str">
        <f t="shared" si="39"/>
        <v/>
      </c>
      <c r="DI29" s="78" t="str">
        <f t="shared" si="39"/>
        <v/>
      </c>
      <c r="DJ29" s="74" t="str">
        <f t="shared" si="39"/>
        <v/>
      </c>
      <c r="DK29" s="74" t="str">
        <f t="shared" si="40"/>
        <v/>
      </c>
      <c r="DL29" s="74" t="str">
        <f t="shared" si="40"/>
        <v/>
      </c>
      <c r="DM29" s="74" t="str">
        <f t="shared" si="40"/>
        <v/>
      </c>
      <c r="DN29" s="74" t="str">
        <f t="shared" si="40"/>
        <v/>
      </c>
      <c r="DO29" s="78" t="str">
        <f t="shared" si="40"/>
        <v/>
      </c>
      <c r="DP29" s="78" t="str">
        <f t="shared" si="40"/>
        <v/>
      </c>
      <c r="DQ29" s="74" t="str">
        <f t="shared" si="40"/>
        <v/>
      </c>
      <c r="DR29" s="74" t="str">
        <f t="shared" si="40"/>
        <v/>
      </c>
      <c r="DS29" s="74" t="str">
        <f t="shared" si="40"/>
        <v/>
      </c>
      <c r="DT29" s="74" t="str">
        <f t="shared" si="40"/>
        <v/>
      </c>
      <c r="DU29" s="74" t="str">
        <f t="shared" si="41"/>
        <v/>
      </c>
      <c r="DV29" s="78" t="str">
        <f t="shared" si="41"/>
        <v/>
      </c>
      <c r="DW29" s="78" t="str">
        <f t="shared" si="41"/>
        <v/>
      </c>
      <c r="DX29" s="74" t="str">
        <f t="shared" si="41"/>
        <v/>
      </c>
      <c r="DY29" s="74" t="str">
        <f t="shared" si="41"/>
        <v/>
      </c>
      <c r="DZ29" s="74" t="str">
        <f t="shared" si="41"/>
        <v/>
      </c>
      <c r="EA29" s="74" t="str">
        <f t="shared" si="41"/>
        <v/>
      </c>
      <c r="EB29" s="74" t="str">
        <f t="shared" si="41"/>
        <v/>
      </c>
      <c r="EC29" s="78" t="str">
        <f t="shared" si="41"/>
        <v/>
      </c>
      <c r="ED29" s="78" t="str">
        <f t="shared" si="41"/>
        <v/>
      </c>
      <c r="EE29" s="74" t="str">
        <f t="shared" si="42"/>
        <v/>
      </c>
      <c r="EF29" s="74" t="str">
        <f t="shared" si="42"/>
        <v/>
      </c>
      <c r="EG29" s="74" t="str">
        <f t="shared" si="42"/>
        <v/>
      </c>
      <c r="EH29" s="74" t="str">
        <f t="shared" si="42"/>
        <v/>
      </c>
      <c r="EI29" s="74" t="str">
        <f t="shared" si="42"/>
        <v/>
      </c>
      <c r="EJ29" s="78" t="str">
        <f t="shared" si="42"/>
        <v/>
      </c>
      <c r="EK29" s="78" t="str">
        <f t="shared" si="42"/>
        <v/>
      </c>
      <c r="EL29" s="74" t="str">
        <f t="shared" si="42"/>
        <v/>
      </c>
      <c r="EM29" s="74" t="str">
        <f t="shared" si="42"/>
        <v/>
      </c>
      <c r="EN29" s="74" t="str">
        <f t="shared" si="42"/>
        <v/>
      </c>
      <c r="EO29" s="74" t="str">
        <f t="shared" si="43"/>
        <v/>
      </c>
      <c r="EP29" s="74" t="str">
        <f t="shared" si="43"/>
        <v/>
      </c>
      <c r="EQ29" s="78" t="str">
        <f t="shared" si="43"/>
        <v/>
      </c>
      <c r="ER29" s="78" t="str">
        <f t="shared" si="43"/>
        <v/>
      </c>
      <c r="ES29" s="74" t="str">
        <f t="shared" si="43"/>
        <v/>
      </c>
      <c r="ET29" s="74" t="str">
        <f t="shared" si="43"/>
        <v/>
      </c>
      <c r="EU29" s="74" t="str">
        <f t="shared" si="43"/>
        <v/>
      </c>
      <c r="EV29" s="74" t="str">
        <f t="shared" si="43"/>
        <v/>
      </c>
      <c r="EW29" s="74" t="str">
        <f t="shared" si="43"/>
        <v/>
      </c>
      <c r="EX29" s="78" t="str">
        <f t="shared" si="43"/>
        <v/>
      </c>
      <c r="EY29" s="78" t="str">
        <f t="shared" si="44"/>
        <v/>
      </c>
      <c r="EZ29" s="74" t="str">
        <f t="shared" si="44"/>
        <v/>
      </c>
      <c r="FA29" s="74" t="str">
        <f t="shared" si="44"/>
        <v/>
      </c>
      <c r="FB29" s="74" t="str">
        <f t="shared" si="44"/>
        <v/>
      </c>
      <c r="FC29" s="74" t="str">
        <f t="shared" si="44"/>
        <v/>
      </c>
      <c r="FD29" s="74" t="str">
        <f t="shared" si="44"/>
        <v/>
      </c>
      <c r="FE29" s="78" t="str">
        <f t="shared" si="44"/>
        <v/>
      </c>
      <c r="FF29" s="78" t="str">
        <f t="shared" si="44"/>
        <v/>
      </c>
      <c r="FG29" s="74" t="str">
        <f t="shared" si="44"/>
        <v/>
      </c>
      <c r="FH29" s="74" t="str">
        <f t="shared" si="44"/>
        <v/>
      </c>
      <c r="FI29" s="74" t="str">
        <f t="shared" si="45"/>
        <v/>
      </c>
      <c r="FJ29" s="74" t="str">
        <f t="shared" si="45"/>
        <v/>
      </c>
      <c r="FK29" s="74" t="str">
        <f t="shared" si="45"/>
        <v/>
      </c>
      <c r="FL29" s="78" t="str">
        <f t="shared" si="45"/>
        <v/>
      </c>
      <c r="FM29" s="78" t="str">
        <f t="shared" si="45"/>
        <v/>
      </c>
      <c r="FN29" s="74" t="str">
        <f t="shared" si="45"/>
        <v/>
      </c>
      <c r="FO29" s="74" t="str">
        <f t="shared" si="45"/>
        <v/>
      </c>
      <c r="FP29" s="74" t="str">
        <f t="shared" si="45"/>
        <v/>
      </c>
      <c r="FQ29" s="74" t="str">
        <f t="shared" si="45"/>
        <v/>
      </c>
      <c r="FR29" s="74" t="str">
        <f t="shared" si="45"/>
        <v/>
      </c>
      <c r="FS29" s="78" t="str">
        <f t="shared" si="46"/>
        <v/>
      </c>
      <c r="FT29" s="78" t="str">
        <f t="shared" si="46"/>
        <v/>
      </c>
      <c r="FU29" s="74" t="str">
        <f t="shared" si="46"/>
        <v/>
      </c>
      <c r="FV29" s="74" t="str">
        <f t="shared" si="46"/>
        <v/>
      </c>
      <c r="FW29" s="74" t="str">
        <f t="shared" si="46"/>
        <v/>
      </c>
      <c r="FX29" s="74" t="str">
        <f t="shared" si="46"/>
        <v/>
      </c>
      <c r="FY29" s="74" t="str">
        <f t="shared" si="46"/>
        <v/>
      </c>
      <c r="FZ29" s="78" t="str">
        <f t="shared" si="46"/>
        <v/>
      </c>
      <c r="GA29" s="78" t="str">
        <f t="shared" si="46"/>
        <v/>
      </c>
      <c r="GB29" s="74" t="str">
        <f t="shared" si="46"/>
        <v/>
      </c>
      <c r="GC29" s="74" t="str">
        <f t="shared" si="47"/>
        <v/>
      </c>
      <c r="GD29" s="74" t="str">
        <f t="shared" si="47"/>
        <v/>
      </c>
      <c r="GE29" s="74" t="str">
        <f t="shared" si="47"/>
        <v/>
      </c>
      <c r="GF29" s="74" t="str">
        <f t="shared" si="47"/>
        <v/>
      </c>
      <c r="GG29" s="78" t="str">
        <f t="shared" si="47"/>
        <v/>
      </c>
      <c r="GH29" s="78" t="str">
        <f t="shared" si="47"/>
        <v/>
      </c>
      <c r="GI29" s="74" t="str">
        <f t="shared" si="47"/>
        <v/>
      </c>
      <c r="GJ29" s="74" t="str">
        <f t="shared" si="47"/>
        <v/>
      </c>
      <c r="GK29" s="74" t="str">
        <f t="shared" si="47"/>
        <v/>
      </c>
      <c r="GL29" s="74" t="str">
        <f t="shared" si="47"/>
        <v/>
      </c>
      <c r="GM29" s="74" t="str">
        <f t="shared" si="48"/>
        <v/>
      </c>
      <c r="GN29" s="78" t="str">
        <f t="shared" si="48"/>
        <v/>
      </c>
      <c r="GO29" s="78" t="str">
        <f t="shared" si="48"/>
        <v/>
      </c>
      <c r="GP29" s="74" t="str">
        <f t="shared" si="48"/>
        <v/>
      </c>
      <c r="GQ29" s="74" t="str">
        <f t="shared" si="48"/>
        <v/>
      </c>
      <c r="GR29" s="74" t="str">
        <f t="shared" si="48"/>
        <v/>
      </c>
      <c r="GS29" s="74" t="str">
        <f t="shared" si="48"/>
        <v/>
      </c>
      <c r="GT29" s="74" t="str">
        <f t="shared" si="48"/>
        <v/>
      </c>
      <c r="GU29" s="78" t="str">
        <f t="shared" si="48"/>
        <v/>
      </c>
      <c r="GV29" s="78" t="str">
        <f t="shared" si="48"/>
        <v/>
      </c>
      <c r="GW29" s="74" t="str">
        <f t="shared" si="49"/>
        <v/>
      </c>
      <c r="GX29" s="74" t="str">
        <f t="shared" si="49"/>
        <v/>
      </c>
      <c r="GY29" s="74" t="str">
        <f t="shared" si="49"/>
        <v/>
      </c>
      <c r="GZ29" s="74" t="str">
        <f t="shared" si="49"/>
        <v/>
      </c>
      <c r="HA29" s="74" t="str">
        <f t="shared" si="49"/>
        <v/>
      </c>
      <c r="HB29" s="78" t="str">
        <f t="shared" si="49"/>
        <v/>
      </c>
      <c r="HC29" s="78" t="str">
        <f t="shared" si="49"/>
        <v/>
      </c>
      <c r="HD29" s="74" t="str">
        <f t="shared" si="49"/>
        <v/>
      </c>
      <c r="HE29" s="74" t="str">
        <f t="shared" si="49"/>
        <v/>
      </c>
      <c r="HF29" s="74" t="str">
        <f t="shared" si="49"/>
        <v/>
      </c>
      <c r="HG29" s="74" t="str">
        <f t="shared" si="49"/>
        <v/>
      </c>
      <c r="HH29" s="74" t="str">
        <f t="shared" si="49"/>
        <v/>
      </c>
    </row>
    <row r="30" spans="1:216" x14ac:dyDescent="0.2">
      <c r="A30" s="82" t="str">
        <f>'FY1 Event Pipeline'!A13</f>
        <v>Animenia</v>
      </c>
      <c r="B30" s="83">
        <f>_xlfn.XLOOKUP(A30,'FY1 Event Pipeline'!$A$4:$A$15,'FY1 Event Pipeline'!$H$4:$H$15)</f>
        <v>46414</v>
      </c>
      <c r="C30" s="83">
        <f>_xlfn.XLOOKUP(A30,'FY1 Event Pipeline'!$A$4:$A$15,'FY1 Event Pipeline'!$J$4:$J$15)</f>
        <v>46436</v>
      </c>
      <c r="D30" s="84">
        <f>_xlfn.XLOOKUP(A30,'FY1 Event Pipeline'!$A$4:$A$15,'FY1 Event Pipeline'!$O$4:$O$15)</f>
        <v>4</v>
      </c>
      <c r="E30" s="74" t="str">
        <f t="shared" si="29"/>
        <v/>
      </c>
      <c r="F30" s="74" t="str">
        <f t="shared" si="29"/>
        <v/>
      </c>
      <c r="G30" s="78" t="str">
        <f t="shared" si="29"/>
        <v/>
      </c>
      <c r="H30" s="78" t="str">
        <f t="shared" si="29"/>
        <v/>
      </c>
      <c r="I30" s="74" t="str">
        <f t="shared" si="29"/>
        <v/>
      </c>
      <c r="J30" s="74" t="str">
        <f t="shared" si="29"/>
        <v/>
      </c>
      <c r="K30" s="74" t="str">
        <f t="shared" si="29"/>
        <v/>
      </c>
      <c r="L30" s="74" t="str">
        <f t="shared" si="29"/>
        <v/>
      </c>
      <c r="M30" s="74" t="str">
        <f t="shared" si="29"/>
        <v/>
      </c>
      <c r="N30" s="78" t="str">
        <f t="shared" si="29"/>
        <v/>
      </c>
      <c r="O30" s="78" t="str">
        <f t="shared" si="30"/>
        <v/>
      </c>
      <c r="P30" s="74" t="str">
        <f t="shared" si="30"/>
        <v/>
      </c>
      <c r="Q30" s="74" t="str">
        <f t="shared" si="30"/>
        <v/>
      </c>
      <c r="R30" s="74" t="str">
        <f t="shared" si="30"/>
        <v/>
      </c>
      <c r="S30" s="74" t="str">
        <f t="shared" si="30"/>
        <v/>
      </c>
      <c r="T30" s="74" t="str">
        <f t="shared" si="30"/>
        <v/>
      </c>
      <c r="U30" s="78" t="str">
        <f t="shared" si="30"/>
        <v/>
      </c>
      <c r="V30" s="78" t="str">
        <f t="shared" si="30"/>
        <v/>
      </c>
      <c r="W30" s="74" t="str">
        <f t="shared" si="30"/>
        <v/>
      </c>
      <c r="X30" s="74" t="str">
        <f t="shared" si="30"/>
        <v/>
      </c>
      <c r="Y30" s="74" t="str">
        <f t="shared" si="31"/>
        <v/>
      </c>
      <c r="Z30" s="74" t="str">
        <f t="shared" si="31"/>
        <v/>
      </c>
      <c r="AA30" s="74" t="str">
        <f t="shared" si="31"/>
        <v/>
      </c>
      <c r="AB30" s="78" t="str">
        <f t="shared" si="31"/>
        <v/>
      </c>
      <c r="AC30" s="78" t="str">
        <f t="shared" si="31"/>
        <v/>
      </c>
      <c r="AD30" s="74" t="str">
        <f t="shared" si="31"/>
        <v/>
      </c>
      <c r="AE30" s="74" t="str">
        <f t="shared" si="31"/>
        <v/>
      </c>
      <c r="AF30" s="74" t="str">
        <f t="shared" si="31"/>
        <v/>
      </c>
      <c r="AG30" s="74" t="str">
        <f t="shared" si="31"/>
        <v/>
      </c>
      <c r="AH30" s="74" t="str">
        <f t="shared" si="31"/>
        <v/>
      </c>
      <c r="AI30" s="78" t="str">
        <f t="shared" si="32"/>
        <v/>
      </c>
      <c r="AJ30" s="78" t="str">
        <f t="shared" si="32"/>
        <v/>
      </c>
      <c r="AK30" s="74" t="str">
        <f t="shared" si="32"/>
        <v/>
      </c>
      <c r="AL30" s="74" t="str">
        <f t="shared" si="32"/>
        <v/>
      </c>
      <c r="AM30" s="74" t="str">
        <f t="shared" si="32"/>
        <v/>
      </c>
      <c r="AN30" s="74" t="str">
        <f t="shared" si="32"/>
        <v/>
      </c>
      <c r="AO30" s="74" t="str">
        <f t="shared" si="32"/>
        <v/>
      </c>
      <c r="AP30" s="78" t="str">
        <f t="shared" si="32"/>
        <v/>
      </c>
      <c r="AQ30" s="78" t="str">
        <f t="shared" si="32"/>
        <v/>
      </c>
      <c r="AR30" s="74" t="str">
        <f t="shared" si="32"/>
        <v/>
      </c>
      <c r="AS30" s="74" t="str">
        <f t="shared" si="33"/>
        <v/>
      </c>
      <c r="AT30" s="74" t="str">
        <f t="shared" si="33"/>
        <v/>
      </c>
      <c r="AU30" s="74" t="str">
        <f t="shared" si="33"/>
        <v/>
      </c>
      <c r="AV30" s="74" t="str">
        <f t="shared" si="33"/>
        <v/>
      </c>
      <c r="AW30" s="78" t="str">
        <f t="shared" si="33"/>
        <v/>
      </c>
      <c r="AX30" s="78" t="str">
        <f t="shared" si="33"/>
        <v/>
      </c>
      <c r="AY30" s="74" t="str">
        <f t="shared" si="33"/>
        <v/>
      </c>
      <c r="AZ30" s="74" t="str">
        <f t="shared" si="33"/>
        <v/>
      </c>
      <c r="BA30" s="74" t="str">
        <f t="shared" si="33"/>
        <v/>
      </c>
      <c r="BB30" s="74" t="str">
        <f t="shared" si="33"/>
        <v/>
      </c>
      <c r="BC30" s="74" t="str">
        <f t="shared" si="34"/>
        <v/>
      </c>
      <c r="BD30" s="78" t="str">
        <f t="shared" si="34"/>
        <v/>
      </c>
      <c r="BE30" s="78" t="str">
        <f t="shared" si="34"/>
        <v/>
      </c>
      <c r="BF30" s="74" t="str">
        <f t="shared" si="34"/>
        <v/>
      </c>
      <c r="BG30" s="74" t="str">
        <f t="shared" si="34"/>
        <v/>
      </c>
      <c r="BH30" s="74" t="str">
        <f t="shared" si="34"/>
        <v/>
      </c>
      <c r="BI30" s="74" t="str">
        <f t="shared" si="34"/>
        <v/>
      </c>
      <c r="BJ30" s="74" t="str">
        <f t="shared" si="34"/>
        <v/>
      </c>
      <c r="BK30" s="78" t="str">
        <f t="shared" si="34"/>
        <v/>
      </c>
      <c r="BL30" s="78" t="str">
        <f t="shared" si="34"/>
        <v/>
      </c>
      <c r="BM30" s="74" t="str">
        <f t="shared" si="35"/>
        <v/>
      </c>
      <c r="BN30" s="74" t="str">
        <f t="shared" si="35"/>
        <v/>
      </c>
      <c r="BO30" s="74" t="str">
        <f t="shared" si="35"/>
        <v/>
      </c>
      <c r="BP30" s="74" t="str">
        <f t="shared" si="35"/>
        <v/>
      </c>
      <c r="BQ30" s="74" t="str">
        <f t="shared" si="35"/>
        <v/>
      </c>
      <c r="BR30" s="78" t="str">
        <f t="shared" si="35"/>
        <v/>
      </c>
      <c r="BS30" s="78" t="str">
        <f t="shared" si="35"/>
        <v/>
      </c>
      <c r="BT30" s="74" t="str">
        <f t="shared" si="35"/>
        <v/>
      </c>
      <c r="BU30" s="74" t="str">
        <f t="shared" si="35"/>
        <v/>
      </c>
      <c r="BV30" s="74" t="str">
        <f t="shared" si="35"/>
        <v/>
      </c>
      <c r="BW30" s="74" t="str">
        <f t="shared" si="36"/>
        <v/>
      </c>
      <c r="BX30" s="74" t="str">
        <f t="shared" si="36"/>
        <v/>
      </c>
      <c r="BY30" s="78" t="str">
        <f t="shared" si="36"/>
        <v/>
      </c>
      <c r="BZ30" s="78" t="str">
        <f t="shared" si="36"/>
        <v/>
      </c>
      <c r="CA30" s="74" t="str">
        <f t="shared" si="36"/>
        <v/>
      </c>
      <c r="CB30" s="74" t="str">
        <f t="shared" si="36"/>
        <v/>
      </c>
      <c r="CC30" s="74" t="str">
        <f t="shared" si="36"/>
        <v/>
      </c>
      <c r="CD30" s="74" t="str">
        <f t="shared" si="36"/>
        <v/>
      </c>
      <c r="CE30" s="74" t="str">
        <f t="shared" si="36"/>
        <v/>
      </c>
      <c r="CF30" s="78" t="str">
        <f t="shared" si="36"/>
        <v/>
      </c>
      <c r="CG30" s="78" t="str">
        <f t="shared" si="37"/>
        <v/>
      </c>
      <c r="CH30" s="74" t="str">
        <f t="shared" si="37"/>
        <v/>
      </c>
      <c r="CI30" s="74" t="str">
        <f t="shared" si="37"/>
        <v/>
      </c>
      <c r="CJ30" s="74" t="str">
        <f t="shared" si="37"/>
        <v/>
      </c>
      <c r="CK30" s="74" t="str">
        <f t="shared" si="37"/>
        <v/>
      </c>
      <c r="CL30" s="74" t="str">
        <f t="shared" si="37"/>
        <v/>
      </c>
      <c r="CM30" s="78" t="str">
        <f t="shared" si="37"/>
        <v/>
      </c>
      <c r="CN30" s="78" t="str">
        <f t="shared" si="37"/>
        <v/>
      </c>
      <c r="CO30" s="74" t="str">
        <f t="shared" si="37"/>
        <v/>
      </c>
      <c r="CP30" s="74" t="str">
        <f t="shared" si="37"/>
        <v/>
      </c>
      <c r="CQ30" s="74" t="str">
        <f t="shared" si="38"/>
        <v/>
      </c>
      <c r="CR30" s="74" t="str">
        <f t="shared" si="38"/>
        <v/>
      </c>
      <c r="CS30" s="74" t="str">
        <f t="shared" si="38"/>
        <v/>
      </c>
      <c r="CT30" s="78" t="str">
        <f t="shared" si="38"/>
        <v/>
      </c>
      <c r="CU30" s="78" t="str">
        <f t="shared" si="38"/>
        <v/>
      </c>
      <c r="CV30" s="74" t="str">
        <f t="shared" si="38"/>
        <v/>
      </c>
      <c r="CW30" s="74" t="str">
        <f t="shared" si="38"/>
        <v/>
      </c>
      <c r="CX30" s="74" t="str">
        <f t="shared" si="38"/>
        <v/>
      </c>
      <c r="CY30" s="74" t="str">
        <f t="shared" si="38"/>
        <v/>
      </c>
      <c r="CZ30" s="74" t="str">
        <f t="shared" si="38"/>
        <v/>
      </c>
      <c r="DA30" s="78" t="str">
        <f t="shared" si="39"/>
        <v/>
      </c>
      <c r="DB30" s="78" t="str">
        <f t="shared" si="39"/>
        <v/>
      </c>
      <c r="DC30" s="74" t="str">
        <f t="shared" si="39"/>
        <v/>
      </c>
      <c r="DD30" s="74" t="str">
        <f t="shared" si="39"/>
        <v/>
      </c>
      <c r="DE30" s="74" t="str">
        <f t="shared" si="39"/>
        <v/>
      </c>
      <c r="DF30" s="74" t="str">
        <f t="shared" si="39"/>
        <v/>
      </c>
      <c r="DG30" s="74" t="str">
        <f t="shared" si="39"/>
        <v/>
      </c>
      <c r="DH30" s="78" t="str">
        <f t="shared" si="39"/>
        <v/>
      </c>
      <c r="DI30" s="78" t="str">
        <f t="shared" si="39"/>
        <v/>
      </c>
      <c r="DJ30" s="74" t="str">
        <f t="shared" si="39"/>
        <v/>
      </c>
      <c r="DK30" s="74" t="str">
        <f t="shared" si="40"/>
        <v/>
      </c>
      <c r="DL30" s="74" t="str">
        <f t="shared" si="40"/>
        <v/>
      </c>
      <c r="DM30" s="74" t="str">
        <f t="shared" si="40"/>
        <v/>
      </c>
      <c r="DN30" s="74" t="str">
        <f t="shared" si="40"/>
        <v/>
      </c>
      <c r="DO30" s="78" t="str">
        <f t="shared" si="40"/>
        <v/>
      </c>
      <c r="DP30" s="78" t="str">
        <f t="shared" si="40"/>
        <v/>
      </c>
      <c r="DQ30" s="74" t="str">
        <f t="shared" si="40"/>
        <v/>
      </c>
      <c r="DR30" s="74" t="str">
        <f t="shared" si="40"/>
        <v/>
      </c>
      <c r="DS30" s="75">
        <f t="shared" si="40"/>
        <v>4</v>
      </c>
      <c r="DT30" s="75">
        <f t="shared" si="40"/>
        <v>4</v>
      </c>
      <c r="DU30" s="75">
        <f t="shared" si="41"/>
        <v>4</v>
      </c>
      <c r="DV30" s="75">
        <f t="shared" si="41"/>
        <v>4</v>
      </c>
      <c r="DW30" s="75">
        <f t="shared" si="41"/>
        <v>4</v>
      </c>
      <c r="DX30" s="75">
        <f t="shared" si="41"/>
        <v>4</v>
      </c>
      <c r="DY30" s="75">
        <f t="shared" si="41"/>
        <v>4</v>
      </c>
      <c r="DZ30" s="75">
        <f t="shared" si="41"/>
        <v>4</v>
      </c>
      <c r="EA30" s="75">
        <f t="shared" si="41"/>
        <v>4</v>
      </c>
      <c r="EB30" s="75">
        <f t="shared" si="41"/>
        <v>4</v>
      </c>
      <c r="EC30" s="75">
        <f t="shared" si="41"/>
        <v>4</v>
      </c>
      <c r="ED30" s="75">
        <f t="shared" si="41"/>
        <v>4</v>
      </c>
      <c r="EE30" s="75">
        <f t="shared" si="42"/>
        <v>4</v>
      </c>
      <c r="EF30" s="75">
        <f t="shared" si="42"/>
        <v>4</v>
      </c>
      <c r="EG30" s="75">
        <f t="shared" si="42"/>
        <v>4</v>
      </c>
      <c r="EH30" s="76">
        <f t="shared" si="42"/>
        <v>4</v>
      </c>
      <c r="EI30" s="76">
        <f t="shared" si="42"/>
        <v>4</v>
      </c>
      <c r="EJ30" s="76">
        <f t="shared" si="42"/>
        <v>4</v>
      </c>
      <c r="EK30" s="76">
        <f t="shared" si="42"/>
        <v>4</v>
      </c>
      <c r="EL30" s="76">
        <f t="shared" si="42"/>
        <v>4</v>
      </c>
      <c r="EM30" s="77">
        <f t="shared" si="42"/>
        <v>4</v>
      </c>
      <c r="EN30" s="77">
        <f t="shared" si="42"/>
        <v>4</v>
      </c>
      <c r="EO30" s="77">
        <f t="shared" si="43"/>
        <v>4</v>
      </c>
      <c r="EP30" s="74" t="str">
        <f t="shared" si="43"/>
        <v/>
      </c>
      <c r="EQ30" s="78" t="str">
        <f t="shared" si="43"/>
        <v/>
      </c>
      <c r="ER30" s="78" t="str">
        <f t="shared" si="43"/>
        <v/>
      </c>
      <c r="ES30" s="74" t="str">
        <f t="shared" si="43"/>
        <v/>
      </c>
      <c r="ET30" s="74" t="str">
        <f t="shared" si="43"/>
        <v/>
      </c>
      <c r="EU30" s="74" t="str">
        <f t="shared" si="43"/>
        <v/>
      </c>
      <c r="EV30" s="74" t="str">
        <f t="shared" si="43"/>
        <v/>
      </c>
      <c r="EW30" s="74" t="str">
        <f t="shared" si="43"/>
        <v/>
      </c>
      <c r="EX30" s="78" t="str">
        <f t="shared" si="43"/>
        <v/>
      </c>
      <c r="EY30" s="78" t="str">
        <f t="shared" si="44"/>
        <v/>
      </c>
      <c r="EZ30" s="74" t="str">
        <f t="shared" si="44"/>
        <v/>
      </c>
      <c r="FA30" s="74" t="str">
        <f t="shared" si="44"/>
        <v/>
      </c>
      <c r="FB30" s="74" t="str">
        <f t="shared" si="44"/>
        <v/>
      </c>
      <c r="FC30" s="74" t="str">
        <f t="shared" si="44"/>
        <v/>
      </c>
      <c r="FD30" s="74" t="str">
        <f t="shared" si="44"/>
        <v/>
      </c>
      <c r="FE30" s="78" t="str">
        <f t="shared" si="44"/>
        <v/>
      </c>
      <c r="FF30" s="78" t="str">
        <f t="shared" si="44"/>
        <v/>
      </c>
      <c r="FG30" s="74" t="str">
        <f t="shared" si="44"/>
        <v/>
      </c>
      <c r="FH30" s="74" t="str">
        <f t="shared" si="44"/>
        <v/>
      </c>
      <c r="FI30" s="74" t="str">
        <f t="shared" si="45"/>
        <v/>
      </c>
      <c r="FJ30" s="74" t="str">
        <f t="shared" si="45"/>
        <v/>
      </c>
      <c r="FK30" s="74" t="str">
        <f t="shared" si="45"/>
        <v/>
      </c>
      <c r="FL30" s="78" t="str">
        <f t="shared" si="45"/>
        <v/>
      </c>
      <c r="FM30" s="78" t="str">
        <f t="shared" si="45"/>
        <v/>
      </c>
      <c r="FN30" s="74" t="str">
        <f t="shared" si="45"/>
        <v/>
      </c>
      <c r="FO30" s="74" t="str">
        <f t="shared" si="45"/>
        <v/>
      </c>
      <c r="FP30" s="74" t="str">
        <f t="shared" si="45"/>
        <v/>
      </c>
      <c r="FQ30" s="74" t="str">
        <f t="shared" si="45"/>
        <v/>
      </c>
      <c r="FR30" s="74" t="str">
        <f t="shared" si="45"/>
        <v/>
      </c>
      <c r="FS30" s="78" t="str">
        <f t="shared" si="46"/>
        <v/>
      </c>
      <c r="FT30" s="78" t="str">
        <f t="shared" si="46"/>
        <v/>
      </c>
      <c r="FU30" s="74" t="str">
        <f t="shared" si="46"/>
        <v/>
      </c>
      <c r="FV30" s="74" t="str">
        <f t="shared" si="46"/>
        <v/>
      </c>
      <c r="FW30" s="74" t="str">
        <f t="shared" si="46"/>
        <v/>
      </c>
      <c r="FX30" s="74" t="str">
        <f t="shared" si="46"/>
        <v/>
      </c>
      <c r="FY30" s="74" t="str">
        <f t="shared" si="46"/>
        <v/>
      </c>
      <c r="FZ30" s="78" t="str">
        <f t="shared" si="46"/>
        <v/>
      </c>
      <c r="GA30" s="78" t="str">
        <f t="shared" si="46"/>
        <v/>
      </c>
      <c r="GB30" s="74" t="str">
        <f t="shared" si="46"/>
        <v/>
      </c>
      <c r="GC30" s="74" t="str">
        <f t="shared" si="47"/>
        <v/>
      </c>
      <c r="GD30" s="74" t="str">
        <f t="shared" si="47"/>
        <v/>
      </c>
      <c r="GE30" s="74" t="str">
        <f t="shared" si="47"/>
        <v/>
      </c>
      <c r="GF30" s="74" t="str">
        <f t="shared" si="47"/>
        <v/>
      </c>
      <c r="GG30" s="78" t="str">
        <f t="shared" si="47"/>
        <v/>
      </c>
      <c r="GH30" s="78" t="str">
        <f t="shared" si="47"/>
        <v/>
      </c>
      <c r="GI30" s="74" t="str">
        <f t="shared" si="47"/>
        <v/>
      </c>
      <c r="GJ30" s="74" t="str">
        <f t="shared" si="47"/>
        <v/>
      </c>
      <c r="GK30" s="74" t="str">
        <f t="shared" si="47"/>
        <v/>
      </c>
      <c r="GL30" s="74" t="str">
        <f t="shared" si="47"/>
        <v/>
      </c>
      <c r="GM30" s="74" t="str">
        <f t="shared" si="48"/>
        <v/>
      </c>
      <c r="GN30" s="78" t="str">
        <f t="shared" si="48"/>
        <v/>
      </c>
      <c r="GO30" s="78" t="str">
        <f t="shared" si="48"/>
        <v/>
      </c>
      <c r="GP30" s="74" t="str">
        <f t="shared" si="48"/>
        <v/>
      </c>
      <c r="GQ30" s="74" t="str">
        <f t="shared" si="48"/>
        <v/>
      </c>
      <c r="GR30" s="74" t="str">
        <f t="shared" si="48"/>
        <v/>
      </c>
      <c r="GS30" s="74" t="str">
        <f t="shared" si="48"/>
        <v/>
      </c>
      <c r="GT30" s="74" t="str">
        <f t="shared" si="48"/>
        <v/>
      </c>
      <c r="GU30" s="78" t="str">
        <f t="shared" si="48"/>
        <v/>
      </c>
      <c r="GV30" s="78" t="str">
        <f t="shared" si="48"/>
        <v/>
      </c>
      <c r="GW30" s="74" t="str">
        <f t="shared" si="49"/>
        <v/>
      </c>
      <c r="GX30" s="74" t="str">
        <f t="shared" si="49"/>
        <v/>
      </c>
      <c r="GY30" s="74" t="str">
        <f t="shared" si="49"/>
        <v/>
      </c>
      <c r="GZ30" s="74" t="str">
        <f t="shared" si="49"/>
        <v/>
      </c>
      <c r="HA30" s="74" t="str">
        <f t="shared" si="49"/>
        <v/>
      </c>
      <c r="HB30" s="78" t="str">
        <f t="shared" si="49"/>
        <v/>
      </c>
      <c r="HC30" s="78" t="str">
        <f t="shared" si="49"/>
        <v/>
      </c>
      <c r="HD30" s="74" t="str">
        <f t="shared" si="49"/>
        <v/>
      </c>
      <c r="HE30" s="74" t="str">
        <f t="shared" si="49"/>
        <v/>
      </c>
      <c r="HF30" s="74" t="str">
        <f t="shared" si="49"/>
        <v/>
      </c>
      <c r="HG30" s="74" t="str">
        <f t="shared" si="49"/>
        <v/>
      </c>
      <c r="HH30" s="74" t="str">
        <f t="shared" si="49"/>
        <v/>
      </c>
    </row>
    <row r="31" spans="1:216" x14ac:dyDescent="0.2">
      <c r="A31" s="82" t="str">
        <f>'FY1 Event Pipeline'!A14</f>
        <v>DAZ</v>
      </c>
      <c r="B31" s="83">
        <f>_xlfn.XLOOKUP(A31,'FY1 Event Pipeline'!$A$4:$A$15,'FY1 Event Pipeline'!$H$4:$H$15)</f>
        <v>46466</v>
      </c>
      <c r="C31" s="83">
        <f>_xlfn.XLOOKUP(A31,'FY1 Event Pipeline'!$A$4:$A$15,'FY1 Event Pipeline'!$J$4:$J$15)</f>
        <v>46496</v>
      </c>
      <c r="D31" s="84">
        <f>_xlfn.XLOOKUP(A31,'FY1 Event Pipeline'!$A$4:$A$15,'FY1 Event Pipeline'!$O$4:$O$15)</f>
        <v>4</v>
      </c>
      <c r="E31" s="74" t="str">
        <f t="shared" si="29"/>
        <v/>
      </c>
      <c r="F31" s="74" t="str">
        <f t="shared" si="29"/>
        <v/>
      </c>
      <c r="G31" s="78" t="str">
        <f t="shared" si="29"/>
        <v/>
      </c>
      <c r="H31" s="78" t="str">
        <f t="shared" si="29"/>
        <v/>
      </c>
      <c r="I31" s="74" t="str">
        <f t="shared" si="29"/>
        <v/>
      </c>
      <c r="J31" s="74" t="str">
        <f t="shared" si="29"/>
        <v/>
      </c>
      <c r="K31" s="74" t="str">
        <f t="shared" si="29"/>
        <v/>
      </c>
      <c r="L31" s="74" t="str">
        <f t="shared" si="29"/>
        <v/>
      </c>
      <c r="M31" s="74" t="str">
        <f t="shared" si="29"/>
        <v/>
      </c>
      <c r="N31" s="78" t="str">
        <f t="shared" si="29"/>
        <v/>
      </c>
      <c r="O31" s="78" t="str">
        <f t="shared" si="30"/>
        <v/>
      </c>
      <c r="P31" s="74" t="str">
        <f t="shared" si="30"/>
        <v/>
      </c>
      <c r="Q31" s="74" t="str">
        <f t="shared" si="30"/>
        <v/>
      </c>
      <c r="R31" s="74" t="str">
        <f t="shared" si="30"/>
        <v/>
      </c>
      <c r="S31" s="74" t="str">
        <f t="shared" si="30"/>
        <v/>
      </c>
      <c r="T31" s="74" t="str">
        <f t="shared" si="30"/>
        <v/>
      </c>
      <c r="U31" s="78" t="str">
        <f t="shared" si="30"/>
        <v/>
      </c>
      <c r="V31" s="78" t="str">
        <f t="shared" si="30"/>
        <v/>
      </c>
      <c r="W31" s="74" t="str">
        <f t="shared" si="30"/>
        <v/>
      </c>
      <c r="X31" s="74" t="str">
        <f t="shared" si="30"/>
        <v/>
      </c>
      <c r="Y31" s="74" t="str">
        <f t="shared" si="31"/>
        <v/>
      </c>
      <c r="Z31" s="74" t="str">
        <f t="shared" si="31"/>
        <v/>
      </c>
      <c r="AA31" s="74" t="str">
        <f t="shared" si="31"/>
        <v/>
      </c>
      <c r="AB31" s="78" t="str">
        <f t="shared" si="31"/>
        <v/>
      </c>
      <c r="AC31" s="78" t="str">
        <f t="shared" si="31"/>
        <v/>
      </c>
      <c r="AD31" s="74" t="str">
        <f t="shared" si="31"/>
        <v/>
      </c>
      <c r="AE31" s="74" t="str">
        <f t="shared" si="31"/>
        <v/>
      </c>
      <c r="AF31" s="74" t="str">
        <f t="shared" si="31"/>
        <v/>
      </c>
      <c r="AG31" s="74" t="str">
        <f t="shared" si="31"/>
        <v/>
      </c>
      <c r="AH31" s="74" t="str">
        <f t="shared" si="31"/>
        <v/>
      </c>
      <c r="AI31" s="78" t="str">
        <f t="shared" si="32"/>
        <v/>
      </c>
      <c r="AJ31" s="78" t="str">
        <f t="shared" si="32"/>
        <v/>
      </c>
      <c r="AK31" s="74" t="str">
        <f t="shared" si="32"/>
        <v/>
      </c>
      <c r="AL31" s="74" t="str">
        <f t="shared" si="32"/>
        <v/>
      </c>
      <c r="AM31" s="74" t="str">
        <f t="shared" si="32"/>
        <v/>
      </c>
      <c r="AN31" s="74" t="str">
        <f t="shared" si="32"/>
        <v/>
      </c>
      <c r="AO31" s="74" t="str">
        <f t="shared" si="32"/>
        <v/>
      </c>
      <c r="AP31" s="78" t="str">
        <f t="shared" si="32"/>
        <v/>
      </c>
      <c r="AQ31" s="78" t="str">
        <f t="shared" si="32"/>
        <v/>
      </c>
      <c r="AR31" s="74" t="str">
        <f t="shared" si="32"/>
        <v/>
      </c>
      <c r="AS31" s="74" t="str">
        <f t="shared" si="33"/>
        <v/>
      </c>
      <c r="AT31" s="74" t="str">
        <f t="shared" si="33"/>
        <v/>
      </c>
      <c r="AU31" s="74" t="str">
        <f t="shared" si="33"/>
        <v/>
      </c>
      <c r="AV31" s="74" t="str">
        <f t="shared" si="33"/>
        <v/>
      </c>
      <c r="AW31" s="78" t="str">
        <f t="shared" si="33"/>
        <v/>
      </c>
      <c r="AX31" s="78" t="str">
        <f t="shared" si="33"/>
        <v/>
      </c>
      <c r="AY31" s="74" t="str">
        <f t="shared" si="33"/>
        <v/>
      </c>
      <c r="AZ31" s="74" t="str">
        <f t="shared" si="33"/>
        <v/>
      </c>
      <c r="BA31" s="74" t="str">
        <f t="shared" si="33"/>
        <v/>
      </c>
      <c r="BB31" s="74" t="str">
        <f t="shared" si="33"/>
        <v/>
      </c>
      <c r="BC31" s="74" t="str">
        <f t="shared" si="34"/>
        <v/>
      </c>
      <c r="BD31" s="78" t="str">
        <f t="shared" si="34"/>
        <v/>
      </c>
      <c r="BE31" s="78" t="str">
        <f t="shared" si="34"/>
        <v/>
      </c>
      <c r="BF31" s="74" t="str">
        <f t="shared" si="34"/>
        <v/>
      </c>
      <c r="BG31" s="74" t="str">
        <f t="shared" si="34"/>
        <v/>
      </c>
      <c r="BH31" s="74" t="str">
        <f t="shared" si="34"/>
        <v/>
      </c>
      <c r="BI31" s="74" t="str">
        <f t="shared" si="34"/>
        <v/>
      </c>
      <c r="BJ31" s="74" t="str">
        <f t="shared" si="34"/>
        <v/>
      </c>
      <c r="BK31" s="78" t="str">
        <f t="shared" si="34"/>
        <v/>
      </c>
      <c r="BL31" s="78" t="str">
        <f t="shared" si="34"/>
        <v/>
      </c>
      <c r="BM31" s="74" t="str">
        <f t="shared" si="35"/>
        <v/>
      </c>
      <c r="BN31" s="74" t="str">
        <f t="shared" si="35"/>
        <v/>
      </c>
      <c r="BO31" s="74" t="str">
        <f t="shared" si="35"/>
        <v/>
      </c>
      <c r="BP31" s="74" t="str">
        <f t="shared" si="35"/>
        <v/>
      </c>
      <c r="BQ31" s="74" t="str">
        <f t="shared" si="35"/>
        <v/>
      </c>
      <c r="BR31" s="78" t="str">
        <f t="shared" si="35"/>
        <v/>
      </c>
      <c r="BS31" s="78" t="str">
        <f t="shared" si="35"/>
        <v/>
      </c>
      <c r="BT31" s="74" t="str">
        <f t="shared" si="35"/>
        <v/>
      </c>
      <c r="BU31" s="74" t="str">
        <f t="shared" si="35"/>
        <v/>
      </c>
      <c r="BV31" s="74" t="str">
        <f t="shared" si="35"/>
        <v/>
      </c>
      <c r="BW31" s="74" t="str">
        <f t="shared" si="36"/>
        <v/>
      </c>
      <c r="BX31" s="74" t="str">
        <f t="shared" si="36"/>
        <v/>
      </c>
      <c r="BY31" s="78" t="str">
        <f t="shared" si="36"/>
        <v/>
      </c>
      <c r="BZ31" s="78" t="str">
        <f t="shared" si="36"/>
        <v/>
      </c>
      <c r="CA31" s="74" t="str">
        <f t="shared" si="36"/>
        <v/>
      </c>
      <c r="CB31" s="74" t="str">
        <f t="shared" si="36"/>
        <v/>
      </c>
      <c r="CC31" s="74" t="str">
        <f t="shared" si="36"/>
        <v/>
      </c>
      <c r="CD31" s="74" t="str">
        <f t="shared" si="36"/>
        <v/>
      </c>
      <c r="CE31" s="74" t="str">
        <f t="shared" si="36"/>
        <v/>
      </c>
      <c r="CF31" s="78" t="str">
        <f t="shared" si="36"/>
        <v/>
      </c>
      <c r="CG31" s="78" t="str">
        <f t="shared" si="37"/>
        <v/>
      </c>
      <c r="CH31" s="74" t="str">
        <f t="shared" si="37"/>
        <v/>
      </c>
      <c r="CI31" s="74" t="str">
        <f t="shared" si="37"/>
        <v/>
      </c>
      <c r="CJ31" s="74" t="str">
        <f t="shared" si="37"/>
        <v/>
      </c>
      <c r="CK31" s="74" t="str">
        <f t="shared" si="37"/>
        <v/>
      </c>
      <c r="CL31" s="74" t="str">
        <f t="shared" si="37"/>
        <v/>
      </c>
      <c r="CM31" s="78" t="str">
        <f t="shared" si="37"/>
        <v/>
      </c>
      <c r="CN31" s="78" t="str">
        <f t="shared" si="37"/>
        <v/>
      </c>
      <c r="CO31" s="74" t="str">
        <f t="shared" si="37"/>
        <v/>
      </c>
      <c r="CP31" s="74" t="str">
        <f t="shared" si="37"/>
        <v/>
      </c>
      <c r="CQ31" s="74" t="str">
        <f t="shared" si="38"/>
        <v/>
      </c>
      <c r="CR31" s="74" t="str">
        <f t="shared" si="38"/>
        <v/>
      </c>
      <c r="CS31" s="74" t="str">
        <f t="shared" si="38"/>
        <v/>
      </c>
      <c r="CT31" s="78" t="str">
        <f t="shared" si="38"/>
        <v/>
      </c>
      <c r="CU31" s="78" t="str">
        <f t="shared" si="38"/>
        <v/>
      </c>
      <c r="CV31" s="74" t="str">
        <f t="shared" si="38"/>
        <v/>
      </c>
      <c r="CW31" s="74" t="str">
        <f t="shared" si="38"/>
        <v/>
      </c>
      <c r="CX31" s="74" t="str">
        <f t="shared" si="38"/>
        <v/>
      </c>
      <c r="CY31" s="74" t="str">
        <f t="shared" si="38"/>
        <v/>
      </c>
      <c r="CZ31" s="74" t="str">
        <f t="shared" si="38"/>
        <v/>
      </c>
      <c r="DA31" s="78" t="str">
        <f t="shared" si="39"/>
        <v/>
      </c>
      <c r="DB31" s="78" t="str">
        <f t="shared" si="39"/>
        <v/>
      </c>
      <c r="DC31" s="74" t="str">
        <f t="shared" si="39"/>
        <v/>
      </c>
      <c r="DD31" s="74" t="str">
        <f t="shared" si="39"/>
        <v/>
      </c>
      <c r="DE31" s="74" t="str">
        <f t="shared" si="39"/>
        <v/>
      </c>
      <c r="DF31" s="74" t="str">
        <f t="shared" si="39"/>
        <v/>
      </c>
      <c r="DG31" s="74" t="str">
        <f t="shared" si="39"/>
        <v/>
      </c>
      <c r="DH31" s="78" t="str">
        <f t="shared" si="39"/>
        <v/>
      </c>
      <c r="DI31" s="78" t="str">
        <f t="shared" si="39"/>
        <v/>
      </c>
      <c r="DJ31" s="74" t="str">
        <f t="shared" si="39"/>
        <v/>
      </c>
      <c r="DK31" s="74" t="str">
        <f t="shared" si="40"/>
        <v/>
      </c>
      <c r="DL31" s="74" t="str">
        <f t="shared" si="40"/>
        <v/>
      </c>
      <c r="DM31" s="74" t="str">
        <f t="shared" si="40"/>
        <v/>
      </c>
      <c r="DN31" s="74" t="str">
        <f t="shared" si="40"/>
        <v/>
      </c>
      <c r="DO31" s="78" t="str">
        <f t="shared" si="40"/>
        <v/>
      </c>
      <c r="DP31" s="78" t="str">
        <f t="shared" si="40"/>
        <v/>
      </c>
      <c r="DQ31" s="74" t="str">
        <f t="shared" si="40"/>
        <v/>
      </c>
      <c r="DR31" s="74" t="str">
        <f t="shared" si="40"/>
        <v/>
      </c>
      <c r="DS31" s="74" t="str">
        <f t="shared" si="40"/>
        <v/>
      </c>
      <c r="DT31" s="74" t="str">
        <f t="shared" si="40"/>
        <v/>
      </c>
      <c r="DU31" s="74" t="str">
        <f t="shared" si="41"/>
        <v/>
      </c>
      <c r="DV31" s="78" t="str">
        <f t="shared" si="41"/>
        <v/>
      </c>
      <c r="DW31" s="78" t="str">
        <f t="shared" si="41"/>
        <v/>
      </c>
      <c r="DX31" s="74" t="str">
        <f t="shared" si="41"/>
        <v/>
      </c>
      <c r="DY31" s="74" t="str">
        <f t="shared" si="41"/>
        <v/>
      </c>
      <c r="DZ31" s="74" t="str">
        <f t="shared" si="41"/>
        <v/>
      </c>
      <c r="EA31" s="74" t="str">
        <f t="shared" si="41"/>
        <v/>
      </c>
      <c r="EB31" s="74" t="str">
        <f t="shared" si="41"/>
        <v/>
      </c>
      <c r="EC31" s="78" t="str">
        <f t="shared" si="41"/>
        <v/>
      </c>
      <c r="ED31" s="78" t="str">
        <f t="shared" si="41"/>
        <v/>
      </c>
      <c r="EE31" s="74" t="str">
        <f t="shared" si="42"/>
        <v/>
      </c>
      <c r="EF31" s="74" t="str">
        <f t="shared" si="42"/>
        <v/>
      </c>
      <c r="EG31" s="74" t="str">
        <f t="shared" si="42"/>
        <v/>
      </c>
      <c r="EH31" s="74" t="str">
        <f t="shared" si="42"/>
        <v/>
      </c>
      <c r="EI31" s="74" t="str">
        <f t="shared" si="42"/>
        <v/>
      </c>
      <c r="EJ31" s="78" t="str">
        <f t="shared" si="42"/>
        <v/>
      </c>
      <c r="EK31" s="78" t="str">
        <f t="shared" si="42"/>
        <v/>
      </c>
      <c r="EL31" s="74" t="str">
        <f t="shared" si="42"/>
        <v/>
      </c>
      <c r="EM31" s="74" t="str">
        <f t="shared" si="42"/>
        <v/>
      </c>
      <c r="EN31" s="74" t="str">
        <f t="shared" si="42"/>
        <v/>
      </c>
      <c r="EO31" s="74" t="str">
        <f t="shared" si="43"/>
        <v/>
      </c>
      <c r="EP31" s="74" t="str">
        <f t="shared" si="43"/>
        <v/>
      </c>
      <c r="EQ31" s="78" t="str">
        <f t="shared" si="43"/>
        <v/>
      </c>
      <c r="ER31" s="78" t="str">
        <f t="shared" si="43"/>
        <v/>
      </c>
      <c r="ES31" s="74" t="str">
        <f t="shared" si="43"/>
        <v/>
      </c>
      <c r="ET31" s="74" t="str">
        <f t="shared" si="43"/>
        <v/>
      </c>
      <c r="EU31" s="74" t="str">
        <f t="shared" si="43"/>
        <v/>
      </c>
      <c r="EV31" s="74" t="str">
        <f t="shared" si="43"/>
        <v/>
      </c>
      <c r="EW31" s="74" t="str">
        <f t="shared" si="43"/>
        <v/>
      </c>
      <c r="EX31" s="78" t="str">
        <f t="shared" si="43"/>
        <v/>
      </c>
      <c r="EY31" s="78" t="str">
        <f t="shared" si="44"/>
        <v/>
      </c>
      <c r="EZ31" s="74" t="str">
        <f t="shared" si="44"/>
        <v/>
      </c>
      <c r="FA31" s="74" t="str">
        <f t="shared" si="44"/>
        <v/>
      </c>
      <c r="FB31" s="74" t="str">
        <f t="shared" si="44"/>
        <v/>
      </c>
      <c r="FC31" s="74" t="str">
        <f t="shared" si="44"/>
        <v/>
      </c>
      <c r="FD31" s="74" t="str">
        <f t="shared" si="44"/>
        <v/>
      </c>
      <c r="FE31" s="78" t="str">
        <f t="shared" si="44"/>
        <v/>
      </c>
      <c r="FF31" s="78" t="str">
        <f t="shared" si="44"/>
        <v/>
      </c>
      <c r="FG31" s="74" t="str">
        <f t="shared" si="44"/>
        <v/>
      </c>
      <c r="FH31" s="74" t="str">
        <f t="shared" si="44"/>
        <v/>
      </c>
      <c r="FI31" s="74" t="str">
        <f t="shared" si="45"/>
        <v/>
      </c>
      <c r="FJ31" s="74" t="str">
        <f t="shared" si="45"/>
        <v/>
      </c>
      <c r="FK31" s="74" t="str">
        <f t="shared" si="45"/>
        <v/>
      </c>
      <c r="FL31" s="78" t="str">
        <f t="shared" si="45"/>
        <v/>
      </c>
      <c r="FM31" s="78" t="str">
        <f t="shared" si="45"/>
        <v/>
      </c>
      <c r="FN31" s="74" t="str">
        <f t="shared" si="45"/>
        <v/>
      </c>
      <c r="FO31" s="74" t="str">
        <f t="shared" si="45"/>
        <v/>
      </c>
      <c r="FP31" s="74" t="str">
        <f t="shared" si="45"/>
        <v/>
      </c>
      <c r="FQ31" s="74" t="str">
        <f t="shared" si="45"/>
        <v/>
      </c>
      <c r="FR31" s="74" t="str">
        <f t="shared" si="45"/>
        <v/>
      </c>
      <c r="FS31" s="75">
        <f t="shared" si="46"/>
        <v>4</v>
      </c>
      <c r="FT31" s="75">
        <f t="shared" si="46"/>
        <v>4</v>
      </c>
      <c r="FU31" s="75">
        <f t="shared" si="46"/>
        <v>4</v>
      </c>
      <c r="FV31" s="75">
        <f t="shared" si="46"/>
        <v>4</v>
      </c>
      <c r="FW31" s="75">
        <f t="shared" si="46"/>
        <v>4</v>
      </c>
      <c r="FX31" s="75">
        <f t="shared" si="46"/>
        <v>4</v>
      </c>
      <c r="FY31" s="75">
        <f t="shared" si="46"/>
        <v>4</v>
      </c>
      <c r="FZ31" s="75">
        <f t="shared" si="46"/>
        <v>4</v>
      </c>
      <c r="GA31" s="75">
        <f t="shared" si="46"/>
        <v>4</v>
      </c>
      <c r="GB31" s="75">
        <f t="shared" si="46"/>
        <v>4</v>
      </c>
      <c r="GC31" s="75">
        <f t="shared" si="47"/>
        <v>4</v>
      </c>
      <c r="GD31" s="75">
        <f t="shared" si="47"/>
        <v>4</v>
      </c>
      <c r="GE31" s="75">
        <f t="shared" si="47"/>
        <v>4</v>
      </c>
      <c r="GF31" s="75">
        <f t="shared" si="47"/>
        <v>4</v>
      </c>
      <c r="GG31" s="76">
        <f t="shared" si="47"/>
        <v>4</v>
      </c>
      <c r="GH31" s="76">
        <f t="shared" si="47"/>
        <v>4</v>
      </c>
      <c r="GI31" s="76">
        <f t="shared" si="47"/>
        <v>4</v>
      </c>
      <c r="GJ31" s="76">
        <f t="shared" si="47"/>
        <v>4</v>
      </c>
      <c r="GK31" s="76">
        <f t="shared" si="47"/>
        <v>4</v>
      </c>
      <c r="GL31" s="76">
        <f t="shared" si="47"/>
        <v>4</v>
      </c>
      <c r="GM31" s="76">
        <f t="shared" si="48"/>
        <v>4</v>
      </c>
      <c r="GN31" s="76">
        <f t="shared" si="48"/>
        <v>4</v>
      </c>
      <c r="GO31" s="76">
        <f t="shared" si="48"/>
        <v>4</v>
      </c>
      <c r="GP31" s="76">
        <f t="shared" si="48"/>
        <v>4</v>
      </c>
      <c r="GQ31" s="77">
        <f t="shared" si="48"/>
        <v>4</v>
      </c>
      <c r="GR31" s="77">
        <f t="shared" si="48"/>
        <v>4</v>
      </c>
      <c r="GS31" s="77">
        <f t="shared" si="48"/>
        <v>4</v>
      </c>
      <c r="GT31" s="77">
        <f t="shared" si="48"/>
        <v>4</v>
      </c>
      <c r="GU31" s="77">
        <f t="shared" si="48"/>
        <v>4</v>
      </c>
      <c r="GV31" s="77">
        <f t="shared" si="48"/>
        <v>4</v>
      </c>
      <c r="GW31" s="77">
        <f t="shared" si="49"/>
        <v>4</v>
      </c>
      <c r="GX31" s="74" t="str">
        <f t="shared" si="49"/>
        <v/>
      </c>
      <c r="GY31" s="74" t="str">
        <f t="shared" si="49"/>
        <v/>
      </c>
      <c r="GZ31" s="74" t="str">
        <f t="shared" si="49"/>
        <v/>
      </c>
      <c r="HA31" s="74" t="str">
        <f t="shared" si="49"/>
        <v/>
      </c>
      <c r="HB31" s="78" t="str">
        <f t="shared" si="49"/>
        <v/>
      </c>
      <c r="HC31" s="78" t="str">
        <f t="shared" si="49"/>
        <v/>
      </c>
      <c r="HD31" s="74" t="str">
        <f t="shared" si="49"/>
        <v/>
      </c>
      <c r="HE31" s="74" t="str">
        <f t="shared" si="49"/>
        <v/>
      </c>
      <c r="HF31" s="74" t="str">
        <f t="shared" si="49"/>
        <v/>
      </c>
      <c r="HG31" s="74" t="str">
        <f t="shared" si="49"/>
        <v/>
      </c>
      <c r="HH31" s="74" t="str">
        <f t="shared" si="49"/>
        <v/>
      </c>
    </row>
    <row r="32" spans="1:216" x14ac:dyDescent="0.2">
      <c r="A32" s="82" t="str">
        <f>'FY1 Event Pipeline'!A15</f>
        <v>BRED</v>
      </c>
      <c r="B32" s="83">
        <f>_xlfn.XLOOKUP(A32,'FY1 Event Pipeline'!$A$4:$A$15,'FY1 Event Pipeline'!$H$4:$H$15)</f>
        <v>46492</v>
      </c>
      <c r="C32" s="83">
        <f>_xlfn.XLOOKUP(A32,'FY1 Event Pipeline'!$A$4:$A$15,'FY1 Event Pipeline'!$J$4:$J$15)</f>
        <v>46506</v>
      </c>
      <c r="D32" s="84">
        <f>_xlfn.XLOOKUP(A32,'FY1 Event Pipeline'!$A$4:$A$15,'FY1 Event Pipeline'!$O$4:$O$15)</f>
        <v>6</v>
      </c>
      <c r="E32" s="74" t="str">
        <f t="shared" si="29"/>
        <v/>
      </c>
      <c r="F32" s="74" t="str">
        <f t="shared" si="29"/>
        <v/>
      </c>
      <c r="G32" s="78" t="str">
        <f t="shared" si="29"/>
        <v/>
      </c>
      <c r="H32" s="78" t="str">
        <f t="shared" si="29"/>
        <v/>
      </c>
      <c r="I32" s="74" t="str">
        <f t="shared" si="29"/>
        <v/>
      </c>
      <c r="J32" s="74" t="str">
        <f t="shared" si="29"/>
        <v/>
      </c>
      <c r="K32" s="74" t="str">
        <f t="shared" si="29"/>
        <v/>
      </c>
      <c r="L32" s="74" t="str">
        <f t="shared" si="29"/>
        <v/>
      </c>
      <c r="M32" s="74" t="str">
        <f t="shared" si="29"/>
        <v/>
      </c>
      <c r="N32" s="78" t="str">
        <f t="shared" si="29"/>
        <v/>
      </c>
      <c r="O32" s="78" t="str">
        <f t="shared" si="30"/>
        <v/>
      </c>
      <c r="P32" s="74" t="str">
        <f t="shared" si="30"/>
        <v/>
      </c>
      <c r="Q32" s="74" t="str">
        <f t="shared" si="30"/>
        <v/>
      </c>
      <c r="R32" s="74" t="str">
        <f t="shared" si="30"/>
        <v/>
      </c>
      <c r="S32" s="74" t="str">
        <f t="shared" si="30"/>
        <v/>
      </c>
      <c r="T32" s="74" t="str">
        <f t="shared" si="30"/>
        <v/>
      </c>
      <c r="U32" s="78" t="str">
        <f t="shared" si="30"/>
        <v/>
      </c>
      <c r="V32" s="78" t="str">
        <f t="shared" si="30"/>
        <v/>
      </c>
      <c r="W32" s="74" t="str">
        <f t="shared" si="30"/>
        <v/>
      </c>
      <c r="X32" s="74" t="str">
        <f t="shared" si="30"/>
        <v/>
      </c>
      <c r="Y32" s="74" t="str">
        <f t="shared" si="31"/>
        <v/>
      </c>
      <c r="Z32" s="74" t="str">
        <f t="shared" si="31"/>
        <v/>
      </c>
      <c r="AA32" s="74" t="str">
        <f t="shared" si="31"/>
        <v/>
      </c>
      <c r="AB32" s="78" t="str">
        <f t="shared" si="31"/>
        <v/>
      </c>
      <c r="AC32" s="78" t="str">
        <f t="shared" si="31"/>
        <v/>
      </c>
      <c r="AD32" s="74" t="str">
        <f t="shared" si="31"/>
        <v/>
      </c>
      <c r="AE32" s="74" t="str">
        <f t="shared" si="31"/>
        <v/>
      </c>
      <c r="AF32" s="74" t="str">
        <f t="shared" si="31"/>
        <v/>
      </c>
      <c r="AG32" s="74" t="str">
        <f t="shared" si="31"/>
        <v/>
      </c>
      <c r="AH32" s="74" t="str">
        <f t="shared" si="31"/>
        <v/>
      </c>
      <c r="AI32" s="78" t="str">
        <f t="shared" si="32"/>
        <v/>
      </c>
      <c r="AJ32" s="78" t="str">
        <f t="shared" si="32"/>
        <v/>
      </c>
      <c r="AK32" s="74" t="str">
        <f t="shared" si="32"/>
        <v/>
      </c>
      <c r="AL32" s="74" t="str">
        <f t="shared" si="32"/>
        <v/>
      </c>
      <c r="AM32" s="74" t="str">
        <f t="shared" si="32"/>
        <v/>
      </c>
      <c r="AN32" s="74" t="str">
        <f t="shared" si="32"/>
        <v/>
      </c>
      <c r="AO32" s="74" t="str">
        <f t="shared" si="32"/>
        <v/>
      </c>
      <c r="AP32" s="78" t="str">
        <f t="shared" si="32"/>
        <v/>
      </c>
      <c r="AQ32" s="78" t="str">
        <f t="shared" si="32"/>
        <v/>
      </c>
      <c r="AR32" s="74" t="str">
        <f t="shared" si="32"/>
        <v/>
      </c>
      <c r="AS32" s="74" t="str">
        <f t="shared" si="33"/>
        <v/>
      </c>
      <c r="AT32" s="74" t="str">
        <f t="shared" si="33"/>
        <v/>
      </c>
      <c r="AU32" s="74" t="str">
        <f t="shared" si="33"/>
        <v/>
      </c>
      <c r="AV32" s="74" t="str">
        <f t="shared" si="33"/>
        <v/>
      </c>
      <c r="AW32" s="78" t="str">
        <f t="shared" si="33"/>
        <v/>
      </c>
      <c r="AX32" s="78" t="str">
        <f t="shared" si="33"/>
        <v/>
      </c>
      <c r="AY32" s="74" t="str">
        <f t="shared" si="33"/>
        <v/>
      </c>
      <c r="AZ32" s="74" t="str">
        <f t="shared" si="33"/>
        <v/>
      </c>
      <c r="BA32" s="74" t="str">
        <f t="shared" si="33"/>
        <v/>
      </c>
      <c r="BB32" s="74" t="str">
        <f t="shared" si="33"/>
        <v/>
      </c>
      <c r="BC32" s="74" t="str">
        <f t="shared" si="34"/>
        <v/>
      </c>
      <c r="BD32" s="78" t="str">
        <f t="shared" si="34"/>
        <v/>
      </c>
      <c r="BE32" s="78" t="str">
        <f t="shared" si="34"/>
        <v/>
      </c>
      <c r="BF32" s="74" t="str">
        <f t="shared" si="34"/>
        <v/>
      </c>
      <c r="BG32" s="74" t="str">
        <f t="shared" si="34"/>
        <v/>
      </c>
      <c r="BH32" s="74" t="str">
        <f t="shared" si="34"/>
        <v/>
      </c>
      <c r="BI32" s="74" t="str">
        <f t="shared" si="34"/>
        <v/>
      </c>
      <c r="BJ32" s="74" t="str">
        <f t="shared" si="34"/>
        <v/>
      </c>
      <c r="BK32" s="78" t="str">
        <f t="shared" si="34"/>
        <v/>
      </c>
      <c r="BL32" s="78" t="str">
        <f t="shared" si="34"/>
        <v/>
      </c>
      <c r="BM32" s="74" t="str">
        <f t="shared" si="35"/>
        <v/>
      </c>
      <c r="BN32" s="74" t="str">
        <f t="shared" si="35"/>
        <v/>
      </c>
      <c r="BO32" s="74" t="str">
        <f t="shared" si="35"/>
        <v/>
      </c>
      <c r="BP32" s="74" t="str">
        <f t="shared" si="35"/>
        <v/>
      </c>
      <c r="BQ32" s="74" t="str">
        <f t="shared" si="35"/>
        <v/>
      </c>
      <c r="BR32" s="78" t="str">
        <f t="shared" si="35"/>
        <v/>
      </c>
      <c r="BS32" s="78" t="str">
        <f t="shared" si="35"/>
        <v/>
      </c>
      <c r="BT32" s="74" t="str">
        <f t="shared" si="35"/>
        <v/>
      </c>
      <c r="BU32" s="74" t="str">
        <f t="shared" si="35"/>
        <v/>
      </c>
      <c r="BV32" s="74" t="str">
        <f t="shared" si="35"/>
        <v/>
      </c>
      <c r="BW32" s="74" t="str">
        <f t="shared" si="36"/>
        <v/>
      </c>
      <c r="BX32" s="74" t="str">
        <f t="shared" si="36"/>
        <v/>
      </c>
      <c r="BY32" s="78" t="str">
        <f t="shared" si="36"/>
        <v/>
      </c>
      <c r="BZ32" s="78" t="str">
        <f t="shared" si="36"/>
        <v/>
      </c>
      <c r="CA32" s="74" t="str">
        <f t="shared" si="36"/>
        <v/>
      </c>
      <c r="CB32" s="74" t="str">
        <f t="shared" si="36"/>
        <v/>
      </c>
      <c r="CC32" s="74" t="str">
        <f t="shared" si="36"/>
        <v/>
      </c>
      <c r="CD32" s="74" t="str">
        <f t="shared" si="36"/>
        <v/>
      </c>
      <c r="CE32" s="74" t="str">
        <f t="shared" si="36"/>
        <v/>
      </c>
      <c r="CF32" s="78" t="str">
        <f t="shared" si="36"/>
        <v/>
      </c>
      <c r="CG32" s="78" t="str">
        <f t="shared" si="37"/>
        <v/>
      </c>
      <c r="CH32" s="74" t="str">
        <f t="shared" si="37"/>
        <v/>
      </c>
      <c r="CI32" s="74" t="str">
        <f t="shared" si="37"/>
        <v/>
      </c>
      <c r="CJ32" s="74" t="str">
        <f t="shared" si="37"/>
        <v/>
      </c>
      <c r="CK32" s="74" t="str">
        <f t="shared" si="37"/>
        <v/>
      </c>
      <c r="CL32" s="74" t="str">
        <f t="shared" si="37"/>
        <v/>
      </c>
      <c r="CM32" s="78" t="str">
        <f t="shared" si="37"/>
        <v/>
      </c>
      <c r="CN32" s="78" t="str">
        <f t="shared" si="37"/>
        <v/>
      </c>
      <c r="CO32" s="74" t="str">
        <f t="shared" si="37"/>
        <v/>
      </c>
      <c r="CP32" s="74" t="str">
        <f t="shared" si="37"/>
        <v/>
      </c>
      <c r="CQ32" s="74" t="str">
        <f t="shared" si="38"/>
        <v/>
      </c>
      <c r="CR32" s="74" t="str">
        <f t="shared" si="38"/>
        <v/>
      </c>
      <c r="CS32" s="74" t="str">
        <f t="shared" si="38"/>
        <v/>
      </c>
      <c r="CT32" s="78" t="str">
        <f t="shared" si="38"/>
        <v/>
      </c>
      <c r="CU32" s="78" t="str">
        <f t="shared" si="38"/>
        <v/>
      </c>
      <c r="CV32" s="74" t="str">
        <f t="shared" si="38"/>
        <v/>
      </c>
      <c r="CW32" s="74" t="str">
        <f t="shared" si="38"/>
        <v/>
      </c>
      <c r="CX32" s="74" t="str">
        <f t="shared" si="38"/>
        <v/>
      </c>
      <c r="CY32" s="74" t="str">
        <f t="shared" si="38"/>
        <v/>
      </c>
      <c r="CZ32" s="74" t="str">
        <f t="shared" si="38"/>
        <v/>
      </c>
      <c r="DA32" s="78" t="str">
        <f t="shared" si="39"/>
        <v/>
      </c>
      <c r="DB32" s="78" t="str">
        <f t="shared" si="39"/>
        <v/>
      </c>
      <c r="DC32" s="74" t="str">
        <f t="shared" si="39"/>
        <v/>
      </c>
      <c r="DD32" s="74" t="str">
        <f t="shared" si="39"/>
        <v/>
      </c>
      <c r="DE32" s="74" t="str">
        <f t="shared" si="39"/>
        <v/>
      </c>
      <c r="DF32" s="74" t="str">
        <f t="shared" si="39"/>
        <v/>
      </c>
      <c r="DG32" s="74" t="str">
        <f t="shared" si="39"/>
        <v/>
      </c>
      <c r="DH32" s="78" t="str">
        <f t="shared" si="39"/>
        <v/>
      </c>
      <c r="DI32" s="78" t="str">
        <f t="shared" si="39"/>
        <v/>
      </c>
      <c r="DJ32" s="74" t="str">
        <f t="shared" si="39"/>
        <v/>
      </c>
      <c r="DK32" s="74" t="str">
        <f t="shared" si="40"/>
        <v/>
      </c>
      <c r="DL32" s="74" t="str">
        <f t="shared" si="40"/>
        <v/>
      </c>
      <c r="DM32" s="74" t="str">
        <f t="shared" si="40"/>
        <v/>
      </c>
      <c r="DN32" s="74" t="str">
        <f t="shared" si="40"/>
        <v/>
      </c>
      <c r="DO32" s="78" t="str">
        <f t="shared" si="40"/>
        <v/>
      </c>
      <c r="DP32" s="78" t="str">
        <f t="shared" si="40"/>
        <v/>
      </c>
      <c r="DQ32" s="74" t="str">
        <f t="shared" si="40"/>
        <v/>
      </c>
      <c r="DR32" s="74" t="str">
        <f t="shared" si="40"/>
        <v/>
      </c>
      <c r="DS32" s="74" t="str">
        <f t="shared" si="40"/>
        <v/>
      </c>
      <c r="DT32" s="74" t="str">
        <f t="shared" si="40"/>
        <v/>
      </c>
      <c r="DU32" s="74" t="str">
        <f t="shared" si="41"/>
        <v/>
      </c>
      <c r="DV32" s="78" t="str">
        <f t="shared" si="41"/>
        <v/>
      </c>
      <c r="DW32" s="78" t="str">
        <f t="shared" si="41"/>
        <v/>
      </c>
      <c r="DX32" s="74" t="str">
        <f t="shared" si="41"/>
        <v/>
      </c>
      <c r="DY32" s="74" t="str">
        <f t="shared" si="41"/>
        <v/>
      </c>
      <c r="DZ32" s="74" t="str">
        <f t="shared" si="41"/>
        <v/>
      </c>
      <c r="EA32" s="74" t="str">
        <f t="shared" si="41"/>
        <v/>
      </c>
      <c r="EB32" s="74" t="str">
        <f t="shared" si="41"/>
        <v/>
      </c>
      <c r="EC32" s="78" t="str">
        <f t="shared" si="41"/>
        <v/>
      </c>
      <c r="ED32" s="78" t="str">
        <f t="shared" si="41"/>
        <v/>
      </c>
      <c r="EE32" s="74" t="str">
        <f t="shared" si="42"/>
        <v/>
      </c>
      <c r="EF32" s="74" t="str">
        <f t="shared" si="42"/>
        <v/>
      </c>
      <c r="EG32" s="74" t="str">
        <f t="shared" si="42"/>
        <v/>
      </c>
      <c r="EH32" s="74" t="str">
        <f t="shared" si="42"/>
        <v/>
      </c>
      <c r="EI32" s="74" t="str">
        <f t="shared" si="42"/>
        <v/>
      </c>
      <c r="EJ32" s="78" t="str">
        <f t="shared" si="42"/>
        <v/>
      </c>
      <c r="EK32" s="78" t="str">
        <f t="shared" si="42"/>
        <v/>
      </c>
      <c r="EL32" s="74" t="str">
        <f t="shared" si="42"/>
        <v/>
      </c>
      <c r="EM32" s="74" t="str">
        <f t="shared" si="42"/>
        <v/>
      </c>
      <c r="EN32" s="74" t="str">
        <f t="shared" si="42"/>
        <v/>
      </c>
      <c r="EO32" s="74" t="str">
        <f t="shared" si="43"/>
        <v/>
      </c>
      <c r="EP32" s="74" t="str">
        <f t="shared" si="43"/>
        <v/>
      </c>
      <c r="EQ32" s="78" t="str">
        <f t="shared" si="43"/>
        <v/>
      </c>
      <c r="ER32" s="78" t="str">
        <f t="shared" si="43"/>
        <v/>
      </c>
      <c r="ES32" s="74" t="str">
        <f t="shared" si="43"/>
        <v/>
      </c>
      <c r="ET32" s="74" t="str">
        <f t="shared" si="43"/>
        <v/>
      </c>
      <c r="EU32" s="74" t="str">
        <f t="shared" si="43"/>
        <v/>
      </c>
      <c r="EV32" s="74" t="str">
        <f t="shared" si="43"/>
        <v/>
      </c>
      <c r="EW32" s="74" t="str">
        <f t="shared" si="43"/>
        <v/>
      </c>
      <c r="EX32" s="78" t="str">
        <f t="shared" si="43"/>
        <v/>
      </c>
      <c r="EY32" s="78" t="str">
        <f t="shared" si="44"/>
        <v/>
      </c>
      <c r="EZ32" s="74" t="str">
        <f t="shared" si="44"/>
        <v/>
      </c>
      <c r="FA32" s="74" t="str">
        <f t="shared" si="44"/>
        <v/>
      </c>
      <c r="FB32" s="74" t="str">
        <f t="shared" si="44"/>
        <v/>
      </c>
      <c r="FC32" s="74" t="str">
        <f t="shared" si="44"/>
        <v/>
      </c>
      <c r="FD32" s="74" t="str">
        <f t="shared" si="44"/>
        <v/>
      </c>
      <c r="FE32" s="78" t="str">
        <f t="shared" si="44"/>
        <v/>
      </c>
      <c r="FF32" s="78" t="str">
        <f t="shared" si="44"/>
        <v/>
      </c>
      <c r="FG32" s="74" t="str">
        <f t="shared" si="44"/>
        <v/>
      </c>
      <c r="FH32" s="74" t="str">
        <f t="shared" si="44"/>
        <v/>
      </c>
      <c r="FI32" s="74" t="str">
        <f t="shared" si="45"/>
        <v/>
      </c>
      <c r="FJ32" s="74" t="str">
        <f t="shared" si="45"/>
        <v/>
      </c>
      <c r="FK32" s="74" t="str">
        <f t="shared" si="45"/>
        <v/>
      </c>
      <c r="FL32" s="78" t="str">
        <f t="shared" si="45"/>
        <v/>
      </c>
      <c r="FM32" s="78" t="str">
        <f t="shared" si="45"/>
        <v/>
      </c>
      <c r="FN32" s="74" t="str">
        <f t="shared" si="45"/>
        <v/>
      </c>
      <c r="FO32" s="74" t="str">
        <f t="shared" si="45"/>
        <v/>
      </c>
      <c r="FP32" s="74" t="str">
        <f t="shared" si="45"/>
        <v/>
      </c>
      <c r="FQ32" s="74" t="str">
        <f t="shared" si="45"/>
        <v/>
      </c>
      <c r="FR32" s="74" t="str">
        <f t="shared" si="45"/>
        <v/>
      </c>
      <c r="FS32" s="78" t="str">
        <f t="shared" si="46"/>
        <v/>
      </c>
      <c r="FT32" s="78" t="str">
        <f t="shared" si="46"/>
        <v/>
      </c>
      <c r="FU32" s="74" t="str">
        <f t="shared" si="46"/>
        <v/>
      </c>
      <c r="FV32" s="74" t="str">
        <f t="shared" si="46"/>
        <v/>
      </c>
      <c r="FW32" s="74" t="str">
        <f t="shared" si="46"/>
        <v/>
      </c>
      <c r="FX32" s="74" t="str">
        <f t="shared" si="46"/>
        <v/>
      </c>
      <c r="FY32" s="74" t="str">
        <f t="shared" si="46"/>
        <v/>
      </c>
      <c r="FZ32" s="78" t="str">
        <f t="shared" si="46"/>
        <v/>
      </c>
      <c r="GA32" s="78" t="str">
        <f t="shared" si="46"/>
        <v/>
      </c>
      <c r="GB32" s="74" t="str">
        <f t="shared" si="46"/>
        <v/>
      </c>
      <c r="GC32" s="74" t="str">
        <f t="shared" si="47"/>
        <v/>
      </c>
      <c r="GD32" s="74" t="str">
        <f t="shared" si="47"/>
        <v/>
      </c>
      <c r="GE32" s="74" t="str">
        <f t="shared" si="47"/>
        <v/>
      </c>
      <c r="GF32" s="74" t="str">
        <f t="shared" si="47"/>
        <v/>
      </c>
      <c r="GG32" s="78" t="str">
        <f t="shared" si="47"/>
        <v/>
      </c>
      <c r="GH32" s="78" t="str">
        <f t="shared" si="47"/>
        <v/>
      </c>
      <c r="GI32" s="74" t="str">
        <f t="shared" si="47"/>
        <v/>
      </c>
      <c r="GJ32" s="74" t="str">
        <f t="shared" si="47"/>
        <v/>
      </c>
      <c r="GK32" s="74" t="str">
        <f t="shared" si="47"/>
        <v/>
      </c>
      <c r="GL32" s="74" t="str">
        <f t="shared" si="47"/>
        <v/>
      </c>
      <c r="GM32" s="74" t="str">
        <f t="shared" si="48"/>
        <v/>
      </c>
      <c r="GN32" s="78" t="str">
        <f t="shared" si="48"/>
        <v/>
      </c>
      <c r="GO32" s="78" t="str">
        <f t="shared" si="48"/>
        <v/>
      </c>
      <c r="GP32" s="74" t="str">
        <f t="shared" si="48"/>
        <v/>
      </c>
      <c r="GQ32" s="74" t="str">
        <f t="shared" si="48"/>
        <v/>
      </c>
      <c r="GR32" s="74" t="str">
        <f t="shared" si="48"/>
        <v/>
      </c>
      <c r="GS32" s="75">
        <f t="shared" si="48"/>
        <v>6</v>
      </c>
      <c r="GT32" s="75">
        <f t="shared" si="48"/>
        <v>6</v>
      </c>
      <c r="GU32" s="75">
        <f t="shared" si="48"/>
        <v>6</v>
      </c>
      <c r="GV32" s="75">
        <f t="shared" si="48"/>
        <v>6</v>
      </c>
      <c r="GW32" s="75">
        <f t="shared" si="49"/>
        <v>6</v>
      </c>
      <c r="GX32" s="75">
        <f t="shared" si="49"/>
        <v>6</v>
      </c>
      <c r="GY32" s="75">
        <f t="shared" si="49"/>
        <v>6</v>
      </c>
      <c r="GZ32" s="76">
        <f t="shared" si="49"/>
        <v>6</v>
      </c>
      <c r="HA32" s="76">
        <f t="shared" si="49"/>
        <v>6</v>
      </c>
      <c r="HB32" s="76">
        <f t="shared" si="49"/>
        <v>6</v>
      </c>
      <c r="HC32" s="76">
        <f t="shared" si="49"/>
        <v>6</v>
      </c>
      <c r="HD32" s="76">
        <f t="shared" si="49"/>
        <v>6</v>
      </c>
      <c r="HE32" s="77">
        <f t="shared" si="49"/>
        <v>6</v>
      </c>
      <c r="HF32" s="77">
        <f t="shared" si="49"/>
        <v>6</v>
      </c>
      <c r="HG32" s="77">
        <f t="shared" si="49"/>
        <v>6</v>
      </c>
      <c r="HH32" s="74" t="str">
        <f t="shared" si="49"/>
        <v/>
      </c>
    </row>
    <row r="33" spans="1:216" x14ac:dyDescent="0.2">
      <c r="A33" s="79" t="s">
        <v>249</v>
      </c>
      <c r="B33" s="79"/>
      <c r="C33" s="79"/>
      <c r="D33" s="80">
        <f>MAX(F33:HH33)</f>
        <v>50</v>
      </c>
      <c r="E33" s="81">
        <f t="shared" ref="E33:BP33" si="50">SUM(E21:E32)</f>
        <v>0</v>
      </c>
      <c r="F33" s="81">
        <f t="shared" si="50"/>
        <v>10</v>
      </c>
      <c r="G33" s="81">
        <f t="shared" si="50"/>
        <v>10</v>
      </c>
      <c r="H33" s="81">
        <f t="shared" si="50"/>
        <v>10</v>
      </c>
      <c r="I33" s="81">
        <f t="shared" si="50"/>
        <v>10</v>
      </c>
      <c r="J33" s="81">
        <f t="shared" si="50"/>
        <v>10</v>
      </c>
      <c r="K33" s="81">
        <f t="shared" si="50"/>
        <v>10</v>
      </c>
      <c r="L33" s="81">
        <f t="shared" si="50"/>
        <v>10</v>
      </c>
      <c r="M33" s="81">
        <f t="shared" si="50"/>
        <v>10</v>
      </c>
      <c r="N33" s="81">
        <f t="shared" si="50"/>
        <v>10</v>
      </c>
      <c r="O33" s="81">
        <f t="shared" si="50"/>
        <v>10</v>
      </c>
      <c r="P33" s="81">
        <f t="shared" si="50"/>
        <v>10</v>
      </c>
      <c r="Q33" s="81">
        <f t="shared" si="50"/>
        <v>10</v>
      </c>
      <c r="R33" s="81">
        <f t="shared" si="50"/>
        <v>10</v>
      </c>
      <c r="S33" s="81">
        <f t="shared" si="50"/>
        <v>10</v>
      </c>
      <c r="T33" s="81">
        <f t="shared" si="50"/>
        <v>10</v>
      </c>
      <c r="U33" s="81">
        <f t="shared" si="50"/>
        <v>10</v>
      </c>
      <c r="V33" s="81">
        <f t="shared" si="50"/>
        <v>10</v>
      </c>
      <c r="W33" s="81">
        <f t="shared" si="50"/>
        <v>10</v>
      </c>
      <c r="X33" s="81">
        <f t="shared" si="50"/>
        <v>10</v>
      </c>
      <c r="Y33" s="81">
        <f t="shared" si="50"/>
        <v>10</v>
      </c>
      <c r="Z33" s="81">
        <f t="shared" si="50"/>
        <v>10</v>
      </c>
      <c r="AA33" s="81">
        <f t="shared" si="50"/>
        <v>10</v>
      </c>
      <c r="AB33" s="81">
        <f t="shared" si="50"/>
        <v>10</v>
      </c>
      <c r="AC33" s="81">
        <f t="shared" si="50"/>
        <v>10</v>
      </c>
      <c r="AD33" s="81">
        <f t="shared" si="50"/>
        <v>10</v>
      </c>
      <c r="AE33" s="81">
        <f t="shared" si="50"/>
        <v>10</v>
      </c>
      <c r="AF33" s="81">
        <f t="shared" si="50"/>
        <v>10</v>
      </c>
      <c r="AG33" s="81">
        <f t="shared" si="50"/>
        <v>10</v>
      </c>
      <c r="AH33" s="81">
        <f t="shared" si="50"/>
        <v>10</v>
      </c>
      <c r="AI33" s="81">
        <f t="shared" si="50"/>
        <v>10</v>
      </c>
      <c r="AJ33" s="81">
        <f t="shared" si="50"/>
        <v>10</v>
      </c>
      <c r="AK33" s="81">
        <f t="shared" si="50"/>
        <v>10</v>
      </c>
      <c r="AL33" s="81">
        <f t="shared" si="50"/>
        <v>10</v>
      </c>
      <c r="AM33" s="81">
        <f t="shared" si="50"/>
        <v>16</v>
      </c>
      <c r="AN33" s="81">
        <f t="shared" si="50"/>
        <v>16</v>
      </c>
      <c r="AO33" s="81">
        <f t="shared" si="50"/>
        <v>22</v>
      </c>
      <c r="AP33" s="81">
        <f t="shared" si="50"/>
        <v>22</v>
      </c>
      <c r="AQ33" s="81">
        <f t="shared" si="50"/>
        <v>22</v>
      </c>
      <c r="AR33" s="81">
        <f t="shared" si="50"/>
        <v>22</v>
      </c>
      <c r="AS33" s="81">
        <f t="shared" si="50"/>
        <v>28</v>
      </c>
      <c r="AT33" s="81">
        <f t="shared" si="50"/>
        <v>28</v>
      </c>
      <c r="AU33" s="81">
        <f t="shared" si="50"/>
        <v>28</v>
      </c>
      <c r="AV33" s="81">
        <f t="shared" si="50"/>
        <v>28</v>
      </c>
      <c r="AW33" s="81">
        <f t="shared" si="50"/>
        <v>36</v>
      </c>
      <c r="AX33" s="81">
        <f t="shared" si="50"/>
        <v>36</v>
      </c>
      <c r="AY33" s="81">
        <f t="shared" si="50"/>
        <v>36</v>
      </c>
      <c r="AZ33" s="81">
        <f t="shared" si="50"/>
        <v>36</v>
      </c>
      <c r="BA33" s="81">
        <f t="shared" si="50"/>
        <v>36</v>
      </c>
      <c r="BB33" s="81">
        <f t="shared" si="50"/>
        <v>36</v>
      </c>
      <c r="BC33" s="81">
        <f t="shared" si="50"/>
        <v>46</v>
      </c>
      <c r="BD33" s="81">
        <f t="shared" si="50"/>
        <v>46</v>
      </c>
      <c r="BE33" s="81">
        <f t="shared" si="50"/>
        <v>46</v>
      </c>
      <c r="BF33" s="81">
        <f t="shared" si="50"/>
        <v>46</v>
      </c>
      <c r="BG33" s="81">
        <f t="shared" si="50"/>
        <v>46</v>
      </c>
      <c r="BH33" s="81">
        <f t="shared" si="50"/>
        <v>46</v>
      </c>
      <c r="BI33" s="81">
        <f t="shared" si="50"/>
        <v>50</v>
      </c>
      <c r="BJ33" s="81">
        <f t="shared" si="50"/>
        <v>44</v>
      </c>
      <c r="BK33" s="81">
        <f t="shared" si="50"/>
        <v>38</v>
      </c>
      <c r="BL33" s="81">
        <f t="shared" si="50"/>
        <v>38</v>
      </c>
      <c r="BM33" s="81">
        <f t="shared" si="50"/>
        <v>38</v>
      </c>
      <c r="BN33" s="81">
        <f t="shared" si="50"/>
        <v>38</v>
      </c>
      <c r="BO33" s="81">
        <f t="shared" si="50"/>
        <v>38</v>
      </c>
      <c r="BP33" s="81">
        <f t="shared" si="50"/>
        <v>38</v>
      </c>
      <c r="BQ33" s="81">
        <f t="shared" ref="BQ33:EB33" si="51">SUM(BQ21:BQ32)</f>
        <v>38</v>
      </c>
      <c r="BR33" s="81">
        <f t="shared" si="51"/>
        <v>38</v>
      </c>
      <c r="BS33" s="81">
        <f t="shared" si="51"/>
        <v>38</v>
      </c>
      <c r="BT33" s="81">
        <f t="shared" si="51"/>
        <v>32</v>
      </c>
      <c r="BU33" s="81">
        <f t="shared" si="51"/>
        <v>32</v>
      </c>
      <c r="BV33" s="81">
        <f t="shared" si="51"/>
        <v>32</v>
      </c>
      <c r="BW33" s="81">
        <f t="shared" si="51"/>
        <v>24</v>
      </c>
      <c r="BX33" s="81">
        <f t="shared" si="51"/>
        <v>24</v>
      </c>
      <c r="BY33" s="81">
        <f t="shared" si="51"/>
        <v>24</v>
      </c>
      <c r="BZ33" s="81">
        <f t="shared" si="51"/>
        <v>24</v>
      </c>
      <c r="CA33" s="81">
        <f t="shared" si="51"/>
        <v>24</v>
      </c>
      <c r="CB33" s="81">
        <f t="shared" si="51"/>
        <v>24</v>
      </c>
      <c r="CC33" s="81">
        <f t="shared" si="51"/>
        <v>24</v>
      </c>
      <c r="CD33" s="81">
        <f t="shared" si="51"/>
        <v>24</v>
      </c>
      <c r="CE33" s="81">
        <f t="shared" si="51"/>
        <v>24</v>
      </c>
      <c r="CF33" s="81">
        <f t="shared" si="51"/>
        <v>24</v>
      </c>
      <c r="CG33" s="81">
        <f t="shared" si="51"/>
        <v>24</v>
      </c>
      <c r="CH33" s="81">
        <f t="shared" si="51"/>
        <v>24</v>
      </c>
      <c r="CI33" s="81">
        <f t="shared" si="51"/>
        <v>24</v>
      </c>
      <c r="CJ33" s="81">
        <f t="shared" si="51"/>
        <v>24</v>
      </c>
      <c r="CK33" s="81">
        <f t="shared" si="51"/>
        <v>24</v>
      </c>
      <c r="CL33" s="81">
        <f t="shared" si="51"/>
        <v>24</v>
      </c>
      <c r="CM33" s="81">
        <f t="shared" si="51"/>
        <v>24</v>
      </c>
      <c r="CN33" s="81">
        <f t="shared" si="51"/>
        <v>24</v>
      </c>
      <c r="CO33" s="81">
        <f t="shared" si="51"/>
        <v>24</v>
      </c>
      <c r="CP33" s="81">
        <f t="shared" si="51"/>
        <v>20</v>
      </c>
      <c r="CQ33" s="81">
        <f t="shared" si="51"/>
        <v>20</v>
      </c>
      <c r="CR33" s="81">
        <f t="shared" si="51"/>
        <v>20</v>
      </c>
      <c r="CS33" s="81">
        <f t="shared" si="51"/>
        <v>20</v>
      </c>
      <c r="CT33" s="81">
        <f t="shared" si="51"/>
        <v>20</v>
      </c>
      <c r="CU33" s="81">
        <f t="shared" si="51"/>
        <v>20</v>
      </c>
      <c r="CV33" s="81">
        <f t="shared" si="51"/>
        <v>20</v>
      </c>
      <c r="CW33" s="81">
        <f t="shared" si="51"/>
        <v>20</v>
      </c>
      <c r="CX33" s="81">
        <f t="shared" si="51"/>
        <v>20</v>
      </c>
      <c r="CY33" s="81">
        <f t="shared" si="51"/>
        <v>20</v>
      </c>
      <c r="CZ33" s="81">
        <f t="shared" si="51"/>
        <v>20</v>
      </c>
      <c r="DA33" s="81">
        <f t="shared" si="51"/>
        <v>20</v>
      </c>
      <c r="DB33" s="81">
        <f t="shared" si="51"/>
        <v>20</v>
      </c>
      <c r="DC33" s="81">
        <f t="shared" si="51"/>
        <v>20</v>
      </c>
      <c r="DD33" s="81">
        <f t="shared" si="51"/>
        <v>10</v>
      </c>
      <c r="DE33" s="81">
        <f t="shared" si="51"/>
        <v>10</v>
      </c>
      <c r="DF33" s="81">
        <f t="shared" si="51"/>
        <v>10</v>
      </c>
      <c r="DG33" s="81">
        <f t="shared" si="51"/>
        <v>10</v>
      </c>
      <c r="DH33" s="81">
        <f t="shared" si="51"/>
        <v>10</v>
      </c>
      <c r="DI33" s="81">
        <f t="shared" si="51"/>
        <v>10</v>
      </c>
      <c r="DJ33" s="81">
        <f t="shared" si="51"/>
        <v>10</v>
      </c>
      <c r="DK33" s="81">
        <f t="shared" si="51"/>
        <v>10</v>
      </c>
      <c r="DL33" s="81">
        <f t="shared" si="51"/>
        <v>10</v>
      </c>
      <c r="DM33" s="81">
        <f t="shared" si="51"/>
        <v>10</v>
      </c>
      <c r="DN33" s="81">
        <f t="shared" si="51"/>
        <v>10</v>
      </c>
      <c r="DO33" s="81">
        <f t="shared" si="51"/>
        <v>10</v>
      </c>
      <c r="DP33" s="81">
        <f t="shared" si="51"/>
        <v>10</v>
      </c>
      <c r="DQ33" s="81">
        <f t="shared" si="51"/>
        <v>10</v>
      </c>
      <c r="DR33" s="81">
        <f t="shared" si="51"/>
        <v>10</v>
      </c>
      <c r="DS33" s="81">
        <f t="shared" si="51"/>
        <v>14</v>
      </c>
      <c r="DT33" s="81">
        <f t="shared" si="51"/>
        <v>14</v>
      </c>
      <c r="DU33" s="81">
        <f t="shared" si="51"/>
        <v>14</v>
      </c>
      <c r="DV33" s="81">
        <f t="shared" si="51"/>
        <v>14</v>
      </c>
      <c r="DW33" s="81">
        <f t="shared" si="51"/>
        <v>14</v>
      </c>
      <c r="DX33" s="81">
        <f t="shared" si="51"/>
        <v>14</v>
      </c>
      <c r="DY33" s="81">
        <f t="shared" si="51"/>
        <v>14</v>
      </c>
      <c r="DZ33" s="81">
        <f t="shared" si="51"/>
        <v>14</v>
      </c>
      <c r="EA33" s="81">
        <f t="shared" si="51"/>
        <v>14</v>
      </c>
      <c r="EB33" s="81">
        <f t="shared" si="51"/>
        <v>14</v>
      </c>
      <c r="EC33" s="81">
        <f t="shared" ref="EC33:GN33" si="52">SUM(EC21:EC32)</f>
        <v>14</v>
      </c>
      <c r="ED33" s="81">
        <f t="shared" si="52"/>
        <v>14</v>
      </c>
      <c r="EE33" s="81">
        <f t="shared" si="52"/>
        <v>14</v>
      </c>
      <c r="EF33" s="81">
        <f t="shared" si="52"/>
        <v>14</v>
      </c>
      <c r="EG33" s="81">
        <f t="shared" si="52"/>
        <v>14</v>
      </c>
      <c r="EH33" s="81">
        <f t="shared" si="52"/>
        <v>14</v>
      </c>
      <c r="EI33" s="81">
        <f t="shared" si="52"/>
        <v>14</v>
      </c>
      <c r="EJ33" s="81">
        <f t="shared" si="52"/>
        <v>14</v>
      </c>
      <c r="EK33" s="81">
        <f t="shared" si="52"/>
        <v>14</v>
      </c>
      <c r="EL33" s="81">
        <f t="shared" si="52"/>
        <v>14</v>
      </c>
      <c r="EM33" s="81">
        <f t="shared" si="52"/>
        <v>14</v>
      </c>
      <c r="EN33" s="81">
        <f t="shared" si="52"/>
        <v>14</v>
      </c>
      <c r="EO33" s="81">
        <f t="shared" si="52"/>
        <v>14</v>
      </c>
      <c r="EP33" s="81">
        <f t="shared" si="52"/>
        <v>10</v>
      </c>
      <c r="EQ33" s="81">
        <f t="shared" si="52"/>
        <v>10</v>
      </c>
      <c r="ER33" s="81">
        <f t="shared" si="52"/>
        <v>10</v>
      </c>
      <c r="ES33" s="81">
        <f t="shared" si="52"/>
        <v>10</v>
      </c>
      <c r="ET33" s="81">
        <f t="shared" si="52"/>
        <v>10</v>
      </c>
      <c r="EU33" s="81">
        <f t="shared" si="52"/>
        <v>10</v>
      </c>
      <c r="EV33" s="81">
        <f t="shared" si="52"/>
        <v>10</v>
      </c>
      <c r="EW33" s="81">
        <f t="shared" si="52"/>
        <v>10</v>
      </c>
      <c r="EX33" s="81">
        <f t="shared" si="52"/>
        <v>10</v>
      </c>
      <c r="EY33" s="81">
        <f t="shared" si="52"/>
        <v>10</v>
      </c>
      <c r="EZ33" s="81">
        <f t="shared" si="52"/>
        <v>10</v>
      </c>
      <c r="FA33" s="81">
        <f t="shared" si="52"/>
        <v>10</v>
      </c>
      <c r="FB33" s="81">
        <f t="shared" si="52"/>
        <v>10</v>
      </c>
      <c r="FC33" s="81">
        <f t="shared" si="52"/>
        <v>10</v>
      </c>
      <c r="FD33" s="81">
        <f t="shared" si="52"/>
        <v>10</v>
      </c>
      <c r="FE33" s="81">
        <f t="shared" si="52"/>
        <v>10</v>
      </c>
      <c r="FF33" s="81">
        <f t="shared" si="52"/>
        <v>10</v>
      </c>
      <c r="FG33" s="81">
        <f t="shared" si="52"/>
        <v>0</v>
      </c>
      <c r="FH33" s="81">
        <f t="shared" si="52"/>
        <v>0</v>
      </c>
      <c r="FI33" s="81">
        <f t="shared" si="52"/>
        <v>0</v>
      </c>
      <c r="FJ33" s="81">
        <f t="shared" si="52"/>
        <v>0</v>
      </c>
      <c r="FK33" s="81">
        <f t="shared" si="52"/>
        <v>0</v>
      </c>
      <c r="FL33" s="81">
        <f t="shared" si="52"/>
        <v>0</v>
      </c>
      <c r="FM33" s="81">
        <f t="shared" si="52"/>
        <v>0</v>
      </c>
      <c r="FN33" s="81">
        <f t="shared" si="52"/>
        <v>0</v>
      </c>
      <c r="FO33" s="81">
        <f t="shared" si="52"/>
        <v>0</v>
      </c>
      <c r="FP33" s="81">
        <f t="shared" si="52"/>
        <v>0</v>
      </c>
      <c r="FQ33" s="81">
        <f t="shared" si="52"/>
        <v>0</v>
      </c>
      <c r="FR33" s="81">
        <f t="shared" si="52"/>
        <v>0</v>
      </c>
      <c r="FS33" s="81">
        <f t="shared" si="52"/>
        <v>4</v>
      </c>
      <c r="FT33" s="81">
        <f t="shared" si="52"/>
        <v>4</v>
      </c>
      <c r="FU33" s="81">
        <f t="shared" si="52"/>
        <v>4</v>
      </c>
      <c r="FV33" s="81">
        <f t="shared" si="52"/>
        <v>4</v>
      </c>
      <c r="FW33" s="81">
        <f t="shared" si="52"/>
        <v>4</v>
      </c>
      <c r="FX33" s="81">
        <f t="shared" si="52"/>
        <v>4</v>
      </c>
      <c r="FY33" s="81">
        <f t="shared" si="52"/>
        <v>4</v>
      </c>
      <c r="FZ33" s="81">
        <f t="shared" si="52"/>
        <v>4</v>
      </c>
      <c r="GA33" s="81">
        <f t="shared" si="52"/>
        <v>4</v>
      </c>
      <c r="GB33" s="81">
        <f t="shared" si="52"/>
        <v>4</v>
      </c>
      <c r="GC33" s="81">
        <f t="shared" si="52"/>
        <v>4</v>
      </c>
      <c r="GD33" s="81">
        <f t="shared" si="52"/>
        <v>4</v>
      </c>
      <c r="GE33" s="81">
        <f t="shared" si="52"/>
        <v>4</v>
      </c>
      <c r="GF33" s="81">
        <f t="shared" si="52"/>
        <v>4</v>
      </c>
      <c r="GG33" s="81">
        <f t="shared" si="52"/>
        <v>4</v>
      </c>
      <c r="GH33" s="81">
        <f t="shared" si="52"/>
        <v>4</v>
      </c>
      <c r="GI33" s="81">
        <f t="shared" si="52"/>
        <v>4</v>
      </c>
      <c r="GJ33" s="81">
        <f t="shared" si="52"/>
        <v>4</v>
      </c>
      <c r="GK33" s="81">
        <f t="shared" si="52"/>
        <v>4</v>
      </c>
      <c r="GL33" s="81">
        <f t="shared" si="52"/>
        <v>4</v>
      </c>
      <c r="GM33" s="81">
        <f t="shared" si="52"/>
        <v>4</v>
      </c>
      <c r="GN33" s="81">
        <f t="shared" si="52"/>
        <v>4</v>
      </c>
      <c r="GO33" s="81">
        <f t="shared" ref="GO33:IZ33" si="53">SUM(GO21:GO32)</f>
        <v>4</v>
      </c>
      <c r="GP33" s="81">
        <f t="shared" si="53"/>
        <v>4</v>
      </c>
      <c r="GQ33" s="81">
        <f t="shared" si="53"/>
        <v>4</v>
      </c>
      <c r="GR33" s="81">
        <f t="shared" si="53"/>
        <v>4</v>
      </c>
      <c r="GS33" s="81">
        <f t="shared" si="53"/>
        <v>10</v>
      </c>
      <c r="GT33" s="81">
        <f t="shared" si="53"/>
        <v>10</v>
      </c>
      <c r="GU33" s="81">
        <f t="shared" si="53"/>
        <v>10</v>
      </c>
      <c r="GV33" s="81">
        <f t="shared" si="53"/>
        <v>10</v>
      </c>
      <c r="GW33" s="81">
        <f t="shared" si="53"/>
        <v>10</v>
      </c>
      <c r="GX33" s="81">
        <f t="shared" si="53"/>
        <v>6</v>
      </c>
      <c r="GY33" s="81">
        <f t="shared" si="53"/>
        <v>6</v>
      </c>
      <c r="GZ33" s="81">
        <f t="shared" si="53"/>
        <v>6</v>
      </c>
      <c r="HA33" s="81">
        <f t="shared" si="53"/>
        <v>6</v>
      </c>
      <c r="HB33" s="81">
        <f t="shared" si="53"/>
        <v>6</v>
      </c>
      <c r="HC33" s="81">
        <f t="shared" si="53"/>
        <v>6</v>
      </c>
      <c r="HD33" s="81">
        <f t="shared" si="53"/>
        <v>6</v>
      </c>
      <c r="HE33" s="81">
        <f t="shared" si="53"/>
        <v>6</v>
      </c>
      <c r="HF33" s="81">
        <f t="shared" si="53"/>
        <v>6</v>
      </c>
      <c r="HG33" s="81">
        <f t="shared" si="53"/>
        <v>6</v>
      </c>
      <c r="HH33" s="81">
        <f t="shared" si="53"/>
        <v>0</v>
      </c>
    </row>
    <row r="34" spans="1:216" x14ac:dyDescent="0.2">
      <c r="A34" s="72" t="s">
        <v>250</v>
      </c>
      <c r="B34" s="72"/>
      <c r="C34" s="72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3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3"/>
      <c r="DL34" s="73"/>
      <c r="DM34" s="73"/>
      <c r="DN34" s="73"/>
      <c r="DO34" s="73"/>
      <c r="DP34" s="73"/>
      <c r="DQ34" s="73"/>
      <c r="DR34" s="73"/>
      <c r="DS34" s="73"/>
      <c r="DT34" s="73"/>
      <c r="DU34" s="73"/>
      <c r="DV34" s="73"/>
      <c r="DW34" s="73"/>
      <c r="DX34" s="73"/>
      <c r="DY34" s="73"/>
      <c r="DZ34" s="73"/>
      <c r="EA34" s="73"/>
      <c r="EB34" s="73"/>
      <c r="EC34" s="73"/>
      <c r="ED34" s="73"/>
      <c r="EE34" s="73"/>
      <c r="EF34" s="73"/>
      <c r="EG34" s="73"/>
      <c r="EH34" s="73"/>
      <c r="EI34" s="73"/>
      <c r="EJ34" s="73"/>
      <c r="EK34" s="73"/>
      <c r="EL34" s="73"/>
      <c r="EM34" s="73"/>
      <c r="EN34" s="73"/>
      <c r="EO34" s="73"/>
      <c r="EP34" s="73"/>
      <c r="EQ34" s="73"/>
      <c r="ER34" s="73"/>
      <c r="ES34" s="73"/>
      <c r="ET34" s="73"/>
      <c r="EU34" s="73"/>
      <c r="EV34" s="73"/>
      <c r="EW34" s="73"/>
      <c r="EX34" s="73"/>
      <c r="EY34" s="73"/>
      <c r="EZ34" s="73"/>
      <c r="FA34" s="73"/>
      <c r="FB34" s="73"/>
      <c r="FC34" s="73"/>
      <c r="FD34" s="73"/>
      <c r="FE34" s="73"/>
      <c r="FF34" s="73"/>
      <c r="FG34" s="73"/>
      <c r="FH34" s="73"/>
      <c r="FI34" s="73"/>
      <c r="FJ34" s="73"/>
      <c r="FK34" s="73"/>
      <c r="FL34" s="73"/>
      <c r="FM34" s="73"/>
      <c r="FN34" s="73"/>
      <c r="FO34" s="73"/>
      <c r="FP34" s="73"/>
      <c r="FQ34" s="73"/>
      <c r="FR34" s="73"/>
      <c r="FS34" s="73"/>
      <c r="FT34" s="73"/>
      <c r="FU34" s="73"/>
      <c r="FV34" s="73"/>
      <c r="FW34" s="73"/>
      <c r="FX34" s="73"/>
      <c r="FY34" s="73"/>
      <c r="FZ34" s="73"/>
      <c r="GA34" s="73"/>
      <c r="GB34" s="73"/>
      <c r="GC34" s="73"/>
      <c r="GD34" s="73"/>
      <c r="GE34" s="73"/>
      <c r="GF34" s="73"/>
      <c r="GG34" s="73"/>
      <c r="GH34" s="73"/>
      <c r="GI34" s="73"/>
      <c r="GJ34" s="73"/>
      <c r="GK34" s="73"/>
      <c r="GL34" s="73"/>
      <c r="GM34" s="73"/>
      <c r="GN34" s="73"/>
      <c r="GO34" s="73"/>
      <c r="GP34" s="73"/>
      <c r="GQ34" s="73"/>
      <c r="GR34" s="73"/>
      <c r="GS34" s="73"/>
      <c r="GT34" s="73"/>
      <c r="GU34" s="73"/>
      <c r="GV34" s="73"/>
      <c r="GW34" s="73"/>
      <c r="GX34" s="73"/>
      <c r="GY34" s="73"/>
      <c r="GZ34" s="73"/>
      <c r="HA34" s="73"/>
      <c r="HB34" s="73"/>
      <c r="HC34" s="73"/>
      <c r="HD34" s="73"/>
      <c r="HE34" s="73"/>
      <c r="HF34" s="73"/>
      <c r="HG34" s="73"/>
      <c r="HH34" s="73"/>
    </row>
    <row r="35" spans="1:216" x14ac:dyDescent="0.2">
      <c r="A35" s="82" t="str">
        <f>'FY1 Event Pipeline'!A4</f>
        <v>Saadiyat Nights</v>
      </c>
      <c r="B35" s="83">
        <f>_xlfn.XLOOKUP(A35,'FY1 Event Pipeline'!$A$4:$A$15,'FY1 Event Pipeline'!$H$4:$H$15)</f>
        <v>46297</v>
      </c>
      <c r="C35" s="83">
        <f>_xlfn.XLOOKUP(A35,'FY1 Event Pipeline'!$A$4:$A$15,'FY1 Event Pipeline'!$J$4:$J$15)</f>
        <v>46453</v>
      </c>
      <c r="D35" s="84">
        <f>_xlfn.XLOOKUP(A35,'FY1 Event Pipeline'!$A$4:$A$15,'FY1 Event Pipeline'!$P$4:$P$15)</f>
        <v>0</v>
      </c>
      <c r="E35" s="74" t="str">
        <f t="shared" ref="E35:N46" si="54">IF(AND(E$5&gt;=$B35,E$5&lt;=$C35),$D35,"")</f>
        <v/>
      </c>
      <c r="F35" s="75">
        <f t="shared" si="54"/>
        <v>0</v>
      </c>
      <c r="G35" s="75">
        <f t="shared" si="54"/>
        <v>0</v>
      </c>
      <c r="H35" s="75">
        <f t="shared" si="54"/>
        <v>0</v>
      </c>
      <c r="I35" s="75">
        <f t="shared" si="54"/>
        <v>0</v>
      </c>
      <c r="J35" s="75">
        <f t="shared" si="54"/>
        <v>0</v>
      </c>
      <c r="K35" s="75">
        <f t="shared" si="54"/>
        <v>0</v>
      </c>
      <c r="L35" s="75">
        <f t="shared" si="54"/>
        <v>0</v>
      </c>
      <c r="M35" s="75">
        <f t="shared" si="54"/>
        <v>0</v>
      </c>
      <c r="N35" s="75">
        <f t="shared" si="54"/>
        <v>0</v>
      </c>
      <c r="O35" s="75">
        <f t="shared" ref="O35:X46" si="55">IF(AND(O$5&gt;=$B35,O$5&lt;=$C35),$D35,"")</f>
        <v>0</v>
      </c>
      <c r="P35" s="75">
        <f t="shared" si="55"/>
        <v>0</v>
      </c>
      <c r="Q35" s="75">
        <f t="shared" si="55"/>
        <v>0</v>
      </c>
      <c r="R35" s="75">
        <f t="shared" si="55"/>
        <v>0</v>
      </c>
      <c r="S35" s="75">
        <f t="shared" si="55"/>
        <v>0</v>
      </c>
      <c r="T35" s="75">
        <f t="shared" si="55"/>
        <v>0</v>
      </c>
      <c r="U35" s="75">
        <f t="shared" si="55"/>
        <v>0</v>
      </c>
      <c r="V35" s="75">
        <f t="shared" si="55"/>
        <v>0</v>
      </c>
      <c r="W35" s="75">
        <f t="shared" si="55"/>
        <v>0</v>
      </c>
      <c r="X35" s="75">
        <f t="shared" si="55"/>
        <v>0</v>
      </c>
      <c r="Y35" s="75">
        <f t="shared" ref="Y35:AH46" si="56">IF(AND(Y$5&gt;=$B35,Y$5&lt;=$C35),$D35,"")</f>
        <v>0</v>
      </c>
      <c r="Z35" s="75">
        <f t="shared" si="56"/>
        <v>0</v>
      </c>
      <c r="AA35" s="75">
        <f t="shared" si="56"/>
        <v>0</v>
      </c>
      <c r="AB35" s="75">
        <f t="shared" si="56"/>
        <v>0</v>
      </c>
      <c r="AC35" s="75">
        <f t="shared" si="56"/>
        <v>0</v>
      </c>
      <c r="AD35" s="75">
        <f t="shared" si="56"/>
        <v>0</v>
      </c>
      <c r="AE35" s="75">
        <f t="shared" si="56"/>
        <v>0</v>
      </c>
      <c r="AF35" s="75">
        <f t="shared" si="56"/>
        <v>0</v>
      </c>
      <c r="AG35" s="75">
        <f t="shared" si="56"/>
        <v>0</v>
      </c>
      <c r="AH35" s="75">
        <f t="shared" si="56"/>
        <v>0</v>
      </c>
      <c r="AI35" s="75">
        <f t="shared" ref="AI35:AR46" si="57">IF(AND(AI$5&gt;=$B35,AI$5&lt;=$C35),$D35,"")</f>
        <v>0</v>
      </c>
      <c r="AJ35" s="76">
        <f t="shared" si="57"/>
        <v>0</v>
      </c>
      <c r="AK35" s="76">
        <f t="shared" si="57"/>
        <v>0</v>
      </c>
      <c r="AL35" s="76">
        <f t="shared" si="57"/>
        <v>0</v>
      </c>
      <c r="AM35" s="76">
        <f t="shared" si="57"/>
        <v>0</v>
      </c>
      <c r="AN35" s="76">
        <f t="shared" si="57"/>
        <v>0</v>
      </c>
      <c r="AO35" s="76">
        <f t="shared" si="57"/>
        <v>0</v>
      </c>
      <c r="AP35" s="76">
        <f t="shared" si="57"/>
        <v>0</v>
      </c>
      <c r="AQ35" s="76">
        <f t="shared" si="57"/>
        <v>0</v>
      </c>
      <c r="AR35" s="76">
        <f t="shared" si="57"/>
        <v>0</v>
      </c>
      <c r="AS35" s="76">
        <f t="shared" ref="AS35:BB46" si="58">IF(AND(AS$5&gt;=$B35,AS$5&lt;=$C35),$D35,"")</f>
        <v>0</v>
      </c>
      <c r="AT35" s="76">
        <f t="shared" si="58"/>
        <v>0</v>
      </c>
      <c r="AU35" s="76">
        <f t="shared" si="58"/>
        <v>0</v>
      </c>
      <c r="AV35" s="76">
        <f t="shared" si="58"/>
        <v>0</v>
      </c>
      <c r="AW35" s="76">
        <f t="shared" si="58"/>
        <v>0</v>
      </c>
      <c r="AX35" s="76">
        <f t="shared" si="58"/>
        <v>0</v>
      </c>
      <c r="AY35" s="76">
        <f t="shared" si="58"/>
        <v>0</v>
      </c>
      <c r="AZ35" s="76">
        <f t="shared" si="58"/>
        <v>0</v>
      </c>
      <c r="BA35" s="76">
        <f t="shared" si="58"/>
        <v>0</v>
      </c>
      <c r="BB35" s="76">
        <f t="shared" si="58"/>
        <v>0</v>
      </c>
      <c r="BC35" s="76">
        <f t="shared" ref="BC35:BL46" si="59">IF(AND(BC$5&gt;=$B35,BC$5&lt;=$C35),$D35,"")</f>
        <v>0</v>
      </c>
      <c r="BD35" s="76">
        <f t="shared" si="59"/>
        <v>0</v>
      </c>
      <c r="BE35" s="76">
        <f t="shared" si="59"/>
        <v>0</v>
      </c>
      <c r="BF35" s="76">
        <f t="shared" si="59"/>
        <v>0</v>
      </c>
      <c r="BG35" s="76">
        <f t="shared" si="59"/>
        <v>0</v>
      </c>
      <c r="BH35" s="76">
        <f t="shared" si="59"/>
        <v>0</v>
      </c>
      <c r="BI35" s="76">
        <f t="shared" si="59"/>
        <v>0</v>
      </c>
      <c r="BJ35" s="76">
        <f t="shared" si="59"/>
        <v>0</v>
      </c>
      <c r="BK35" s="76">
        <f t="shared" si="59"/>
        <v>0</v>
      </c>
      <c r="BL35" s="76">
        <f t="shared" si="59"/>
        <v>0</v>
      </c>
      <c r="BM35" s="76">
        <f t="shared" ref="BM35:BV46" si="60">IF(AND(BM$5&gt;=$B35,BM$5&lt;=$C35),$D35,"")</f>
        <v>0</v>
      </c>
      <c r="BN35" s="76">
        <f t="shared" si="60"/>
        <v>0</v>
      </c>
      <c r="BO35" s="76">
        <f t="shared" si="60"/>
        <v>0</v>
      </c>
      <c r="BP35" s="76">
        <f t="shared" si="60"/>
        <v>0</v>
      </c>
      <c r="BQ35" s="76">
        <f t="shared" si="60"/>
        <v>0</v>
      </c>
      <c r="BR35" s="76">
        <f t="shared" si="60"/>
        <v>0</v>
      </c>
      <c r="BS35" s="76">
        <f t="shared" si="60"/>
        <v>0</v>
      </c>
      <c r="BT35" s="76">
        <f t="shared" si="60"/>
        <v>0</v>
      </c>
      <c r="BU35" s="76">
        <f t="shared" si="60"/>
        <v>0</v>
      </c>
      <c r="BV35" s="76">
        <f t="shared" si="60"/>
        <v>0</v>
      </c>
      <c r="BW35" s="76">
        <f t="shared" ref="BW35:CF46" si="61">IF(AND(BW$5&gt;=$B35,BW$5&lt;=$C35),$D35,"")</f>
        <v>0</v>
      </c>
      <c r="BX35" s="76">
        <f t="shared" si="61"/>
        <v>0</v>
      </c>
      <c r="BY35" s="76">
        <f t="shared" si="61"/>
        <v>0</v>
      </c>
      <c r="BZ35" s="76">
        <f t="shared" si="61"/>
        <v>0</v>
      </c>
      <c r="CA35" s="76">
        <f t="shared" si="61"/>
        <v>0</v>
      </c>
      <c r="CB35" s="76">
        <f t="shared" si="61"/>
        <v>0</v>
      </c>
      <c r="CC35" s="76">
        <f t="shared" si="61"/>
        <v>0</v>
      </c>
      <c r="CD35" s="76">
        <f t="shared" si="61"/>
        <v>0</v>
      </c>
      <c r="CE35" s="76">
        <f t="shared" si="61"/>
        <v>0</v>
      </c>
      <c r="CF35" s="76">
        <f t="shared" si="61"/>
        <v>0</v>
      </c>
      <c r="CG35" s="76">
        <f t="shared" ref="CG35:CP46" si="62">IF(AND(CG$5&gt;=$B35,CG$5&lt;=$C35),$D35,"")</f>
        <v>0</v>
      </c>
      <c r="CH35" s="76">
        <f t="shared" si="62"/>
        <v>0</v>
      </c>
      <c r="CI35" s="76">
        <f t="shared" si="62"/>
        <v>0</v>
      </c>
      <c r="CJ35" s="76">
        <f t="shared" si="62"/>
        <v>0</v>
      </c>
      <c r="CK35" s="76">
        <f t="shared" si="62"/>
        <v>0</v>
      </c>
      <c r="CL35" s="76">
        <f t="shared" si="62"/>
        <v>0</v>
      </c>
      <c r="CM35" s="76">
        <f t="shared" si="62"/>
        <v>0</v>
      </c>
      <c r="CN35" s="76">
        <f t="shared" si="62"/>
        <v>0</v>
      </c>
      <c r="CO35" s="76">
        <f t="shared" si="62"/>
        <v>0</v>
      </c>
      <c r="CP35" s="76">
        <f t="shared" si="62"/>
        <v>0</v>
      </c>
      <c r="CQ35" s="76">
        <f t="shared" ref="CQ35:CZ46" si="63">IF(AND(CQ$5&gt;=$B35,CQ$5&lt;=$C35),$D35,"")</f>
        <v>0</v>
      </c>
      <c r="CR35" s="76">
        <f t="shared" si="63"/>
        <v>0</v>
      </c>
      <c r="CS35" s="76">
        <f t="shared" si="63"/>
        <v>0</v>
      </c>
      <c r="CT35" s="76">
        <f t="shared" si="63"/>
        <v>0</v>
      </c>
      <c r="CU35" s="76">
        <f t="shared" si="63"/>
        <v>0</v>
      </c>
      <c r="CV35" s="76">
        <f t="shared" si="63"/>
        <v>0</v>
      </c>
      <c r="CW35" s="76">
        <f t="shared" si="63"/>
        <v>0</v>
      </c>
      <c r="CX35" s="76">
        <f t="shared" si="63"/>
        <v>0</v>
      </c>
      <c r="CY35" s="76">
        <f t="shared" si="63"/>
        <v>0</v>
      </c>
      <c r="CZ35" s="76">
        <f t="shared" si="63"/>
        <v>0</v>
      </c>
      <c r="DA35" s="76">
        <f t="shared" ref="DA35:DJ46" si="64">IF(AND(DA$5&gt;=$B35,DA$5&lt;=$C35),$D35,"")</f>
        <v>0</v>
      </c>
      <c r="DB35" s="76">
        <f t="shared" si="64"/>
        <v>0</v>
      </c>
      <c r="DC35" s="76">
        <f t="shared" si="64"/>
        <v>0</v>
      </c>
      <c r="DD35" s="76">
        <f t="shared" si="64"/>
        <v>0</v>
      </c>
      <c r="DE35" s="76">
        <f t="shared" si="64"/>
        <v>0</v>
      </c>
      <c r="DF35" s="76">
        <f t="shared" si="64"/>
        <v>0</v>
      </c>
      <c r="DG35" s="76">
        <f t="shared" si="64"/>
        <v>0</v>
      </c>
      <c r="DH35" s="76">
        <f t="shared" si="64"/>
        <v>0</v>
      </c>
      <c r="DI35" s="76">
        <f t="shared" si="64"/>
        <v>0</v>
      </c>
      <c r="DJ35" s="76">
        <f t="shared" si="64"/>
        <v>0</v>
      </c>
      <c r="DK35" s="76">
        <f t="shared" ref="DK35:DT46" si="65">IF(AND(DK$5&gt;=$B35,DK$5&lt;=$C35),$D35,"")</f>
        <v>0</v>
      </c>
      <c r="DL35" s="76">
        <f t="shared" si="65"/>
        <v>0</v>
      </c>
      <c r="DM35" s="76">
        <f t="shared" si="65"/>
        <v>0</v>
      </c>
      <c r="DN35" s="76">
        <f t="shared" si="65"/>
        <v>0</v>
      </c>
      <c r="DO35" s="76">
        <f t="shared" si="65"/>
        <v>0</v>
      </c>
      <c r="DP35" s="76">
        <f t="shared" si="65"/>
        <v>0</v>
      </c>
      <c r="DQ35" s="76">
        <f t="shared" si="65"/>
        <v>0</v>
      </c>
      <c r="DR35" s="76">
        <f t="shared" si="65"/>
        <v>0</v>
      </c>
      <c r="DS35" s="76">
        <f t="shared" si="65"/>
        <v>0</v>
      </c>
      <c r="DT35" s="76">
        <f t="shared" si="65"/>
        <v>0</v>
      </c>
      <c r="DU35" s="76">
        <f t="shared" ref="DU35:ED46" si="66">IF(AND(DU$5&gt;=$B35,DU$5&lt;=$C35),$D35,"")</f>
        <v>0</v>
      </c>
      <c r="DV35" s="76">
        <f t="shared" si="66"/>
        <v>0</v>
      </c>
      <c r="DW35" s="76">
        <f t="shared" si="66"/>
        <v>0</v>
      </c>
      <c r="DX35" s="76">
        <f t="shared" si="66"/>
        <v>0</v>
      </c>
      <c r="DY35" s="76">
        <f t="shared" si="66"/>
        <v>0</v>
      </c>
      <c r="DZ35" s="76">
        <f t="shared" si="66"/>
        <v>0</v>
      </c>
      <c r="EA35" s="76">
        <f t="shared" si="66"/>
        <v>0</v>
      </c>
      <c r="EB35" s="76">
        <f t="shared" si="66"/>
        <v>0</v>
      </c>
      <c r="EC35" s="76">
        <f t="shared" si="66"/>
        <v>0</v>
      </c>
      <c r="ED35" s="76">
        <f t="shared" si="66"/>
        <v>0</v>
      </c>
      <c r="EE35" s="76">
        <f t="shared" ref="EE35:EN46" si="67">IF(AND(EE$5&gt;=$B35,EE$5&lt;=$C35),$D35,"")</f>
        <v>0</v>
      </c>
      <c r="EF35" s="76">
        <f t="shared" si="67"/>
        <v>0</v>
      </c>
      <c r="EG35" s="76">
        <f t="shared" si="67"/>
        <v>0</v>
      </c>
      <c r="EH35" s="76">
        <f t="shared" si="67"/>
        <v>0</v>
      </c>
      <c r="EI35" s="76">
        <f t="shared" si="67"/>
        <v>0</v>
      </c>
      <c r="EJ35" s="76">
        <f t="shared" si="67"/>
        <v>0</v>
      </c>
      <c r="EK35" s="76">
        <f t="shared" si="67"/>
        <v>0</v>
      </c>
      <c r="EL35" s="76">
        <f t="shared" si="67"/>
        <v>0</v>
      </c>
      <c r="EM35" s="76">
        <f t="shared" si="67"/>
        <v>0</v>
      </c>
      <c r="EN35" s="76">
        <f t="shared" si="67"/>
        <v>0</v>
      </c>
      <c r="EO35" s="76">
        <f t="shared" ref="EO35:EX46" si="68">IF(AND(EO$5&gt;=$B35,EO$5&lt;=$C35),$D35,"")</f>
        <v>0</v>
      </c>
      <c r="EP35" s="76">
        <f t="shared" si="68"/>
        <v>0</v>
      </c>
      <c r="EQ35" s="76">
        <f t="shared" si="68"/>
        <v>0</v>
      </c>
      <c r="ER35" s="76">
        <f t="shared" si="68"/>
        <v>0</v>
      </c>
      <c r="ES35" s="76">
        <f t="shared" si="68"/>
        <v>0</v>
      </c>
      <c r="ET35" s="76">
        <f t="shared" si="68"/>
        <v>0</v>
      </c>
      <c r="EU35" s="76">
        <f t="shared" si="68"/>
        <v>0</v>
      </c>
      <c r="EV35" s="76">
        <f t="shared" si="68"/>
        <v>0</v>
      </c>
      <c r="EW35" s="76">
        <f t="shared" si="68"/>
        <v>0</v>
      </c>
      <c r="EX35" s="76">
        <f t="shared" si="68"/>
        <v>0</v>
      </c>
      <c r="EY35" s="76">
        <f t="shared" ref="EY35:FH46" si="69">IF(AND(EY$5&gt;=$B35,EY$5&lt;=$C35),$D35,"")</f>
        <v>0</v>
      </c>
      <c r="EZ35" s="77">
        <f t="shared" si="69"/>
        <v>0</v>
      </c>
      <c r="FA35" s="77">
        <f t="shared" si="69"/>
        <v>0</v>
      </c>
      <c r="FB35" s="77">
        <f t="shared" si="69"/>
        <v>0</v>
      </c>
      <c r="FC35" s="77">
        <f t="shared" si="69"/>
        <v>0</v>
      </c>
      <c r="FD35" s="77">
        <f t="shared" si="69"/>
        <v>0</v>
      </c>
      <c r="FE35" s="77">
        <f t="shared" si="69"/>
        <v>0</v>
      </c>
      <c r="FF35" s="77">
        <f t="shared" si="69"/>
        <v>0</v>
      </c>
      <c r="FG35" s="74" t="str">
        <f t="shared" si="69"/>
        <v/>
      </c>
      <c r="FH35" s="74" t="str">
        <f t="shared" si="69"/>
        <v/>
      </c>
      <c r="FI35" s="74" t="str">
        <f t="shared" ref="FI35:FR46" si="70">IF(AND(FI$5&gt;=$B35,FI$5&lt;=$C35),$D35,"")</f>
        <v/>
      </c>
      <c r="FJ35" s="74" t="str">
        <f t="shared" si="70"/>
        <v/>
      </c>
      <c r="FK35" s="74" t="str">
        <f t="shared" si="70"/>
        <v/>
      </c>
      <c r="FL35" s="78" t="str">
        <f t="shared" si="70"/>
        <v/>
      </c>
      <c r="FM35" s="78" t="str">
        <f t="shared" si="70"/>
        <v/>
      </c>
      <c r="FN35" s="74" t="str">
        <f t="shared" si="70"/>
        <v/>
      </c>
      <c r="FO35" s="74" t="str">
        <f t="shared" si="70"/>
        <v/>
      </c>
      <c r="FP35" s="74" t="str">
        <f t="shared" si="70"/>
        <v/>
      </c>
      <c r="FQ35" s="74" t="str">
        <f t="shared" si="70"/>
        <v/>
      </c>
      <c r="FR35" s="74" t="str">
        <f t="shared" si="70"/>
        <v/>
      </c>
      <c r="FS35" s="78" t="str">
        <f t="shared" ref="FS35:GB46" si="71">IF(AND(FS$5&gt;=$B35,FS$5&lt;=$C35),$D35,"")</f>
        <v/>
      </c>
      <c r="FT35" s="78" t="str">
        <f t="shared" si="71"/>
        <v/>
      </c>
      <c r="FU35" s="74" t="str">
        <f t="shared" si="71"/>
        <v/>
      </c>
      <c r="FV35" s="74" t="str">
        <f t="shared" si="71"/>
        <v/>
      </c>
      <c r="FW35" s="74" t="str">
        <f t="shared" si="71"/>
        <v/>
      </c>
      <c r="FX35" s="74" t="str">
        <f t="shared" si="71"/>
        <v/>
      </c>
      <c r="FY35" s="74" t="str">
        <f t="shared" si="71"/>
        <v/>
      </c>
      <c r="FZ35" s="78" t="str">
        <f t="shared" si="71"/>
        <v/>
      </c>
      <c r="GA35" s="78" t="str">
        <f t="shared" si="71"/>
        <v/>
      </c>
      <c r="GB35" s="74" t="str">
        <f t="shared" si="71"/>
        <v/>
      </c>
      <c r="GC35" s="74" t="str">
        <f t="shared" ref="GC35:GL46" si="72">IF(AND(GC$5&gt;=$B35,GC$5&lt;=$C35),$D35,"")</f>
        <v/>
      </c>
      <c r="GD35" s="74" t="str">
        <f t="shared" si="72"/>
        <v/>
      </c>
      <c r="GE35" s="74" t="str">
        <f t="shared" si="72"/>
        <v/>
      </c>
      <c r="GF35" s="74" t="str">
        <f t="shared" si="72"/>
        <v/>
      </c>
      <c r="GG35" s="78" t="str">
        <f t="shared" si="72"/>
        <v/>
      </c>
      <c r="GH35" s="78" t="str">
        <f t="shared" si="72"/>
        <v/>
      </c>
      <c r="GI35" s="74" t="str">
        <f t="shared" si="72"/>
        <v/>
      </c>
      <c r="GJ35" s="74" t="str">
        <f t="shared" si="72"/>
        <v/>
      </c>
      <c r="GK35" s="74" t="str">
        <f t="shared" si="72"/>
        <v/>
      </c>
      <c r="GL35" s="74" t="str">
        <f t="shared" si="72"/>
        <v/>
      </c>
      <c r="GM35" s="74" t="str">
        <f t="shared" ref="GM35:GV46" si="73">IF(AND(GM$5&gt;=$B35,GM$5&lt;=$C35),$D35,"")</f>
        <v/>
      </c>
      <c r="GN35" s="78" t="str">
        <f t="shared" si="73"/>
        <v/>
      </c>
      <c r="GO35" s="78" t="str">
        <f t="shared" si="73"/>
        <v/>
      </c>
      <c r="GP35" s="74" t="str">
        <f t="shared" si="73"/>
        <v/>
      </c>
      <c r="GQ35" s="74" t="str">
        <f t="shared" si="73"/>
        <v/>
      </c>
      <c r="GR35" s="74" t="str">
        <f t="shared" si="73"/>
        <v/>
      </c>
      <c r="GS35" s="74" t="str">
        <f t="shared" si="73"/>
        <v/>
      </c>
      <c r="GT35" s="74" t="str">
        <f t="shared" si="73"/>
        <v/>
      </c>
      <c r="GU35" s="78" t="str">
        <f t="shared" si="73"/>
        <v/>
      </c>
      <c r="GV35" s="78" t="str">
        <f t="shared" si="73"/>
        <v/>
      </c>
      <c r="GW35" s="74" t="str">
        <f t="shared" ref="GW35:HH46" si="74">IF(AND(GW$5&gt;=$B35,GW$5&lt;=$C35),$D35,"")</f>
        <v/>
      </c>
      <c r="GX35" s="74" t="str">
        <f t="shared" si="74"/>
        <v/>
      </c>
      <c r="GY35" s="74" t="str">
        <f t="shared" si="74"/>
        <v/>
      </c>
      <c r="GZ35" s="74" t="str">
        <f t="shared" si="74"/>
        <v/>
      </c>
      <c r="HA35" s="74" t="str">
        <f t="shared" si="74"/>
        <v/>
      </c>
      <c r="HB35" s="78" t="str">
        <f t="shared" si="74"/>
        <v/>
      </c>
      <c r="HC35" s="78" t="str">
        <f t="shared" si="74"/>
        <v/>
      </c>
      <c r="HD35" s="74" t="str">
        <f t="shared" si="74"/>
        <v/>
      </c>
      <c r="HE35" s="74" t="str">
        <f t="shared" si="74"/>
        <v/>
      </c>
      <c r="HF35" s="74" t="str">
        <f t="shared" si="74"/>
        <v/>
      </c>
      <c r="HG35" s="74" t="str">
        <f t="shared" si="74"/>
        <v/>
      </c>
      <c r="HH35" s="74" t="str">
        <f t="shared" si="74"/>
        <v/>
      </c>
    </row>
    <row r="36" spans="1:216" x14ac:dyDescent="0.2">
      <c r="A36" s="82" t="str">
        <f>'FY1 Event Pipeline'!A5</f>
        <v>BRED X</v>
      </c>
      <c r="B36" s="83">
        <f>_xlfn.XLOOKUP(A36,'FY1 Event Pipeline'!$A$4:$A$15,'FY1 Event Pipeline'!$H$4:$H$15)</f>
        <v>46318</v>
      </c>
      <c r="C36" s="83">
        <f>_xlfn.XLOOKUP(A36,'FY1 Event Pipeline'!$A$4:$A$15,'FY1 Event Pipeline'!$J$4:$J$15)</f>
        <v>46339</v>
      </c>
      <c r="D36" s="84">
        <f>_xlfn.XLOOKUP(A36,'FY1 Event Pipeline'!$A$4:$A$15,'FY1 Event Pipeline'!$P$4:$P$15)</f>
        <v>0</v>
      </c>
      <c r="E36" s="74" t="str">
        <f t="shared" si="54"/>
        <v/>
      </c>
      <c r="F36" s="74" t="str">
        <f t="shared" si="54"/>
        <v/>
      </c>
      <c r="G36" s="78" t="str">
        <f t="shared" si="54"/>
        <v/>
      </c>
      <c r="H36" s="78" t="str">
        <f t="shared" si="54"/>
        <v/>
      </c>
      <c r="I36" s="74" t="str">
        <f t="shared" si="54"/>
        <v/>
      </c>
      <c r="J36" s="74" t="str">
        <f t="shared" si="54"/>
        <v/>
      </c>
      <c r="K36" s="74" t="str">
        <f t="shared" si="54"/>
        <v/>
      </c>
      <c r="L36" s="74" t="str">
        <f t="shared" si="54"/>
        <v/>
      </c>
      <c r="M36" s="74" t="str">
        <f t="shared" si="54"/>
        <v/>
      </c>
      <c r="N36" s="78" t="str">
        <f t="shared" si="54"/>
        <v/>
      </c>
      <c r="O36" s="78" t="str">
        <f t="shared" si="55"/>
        <v/>
      </c>
      <c r="P36" s="74" t="str">
        <f t="shared" si="55"/>
        <v/>
      </c>
      <c r="Q36" s="74" t="str">
        <f t="shared" si="55"/>
        <v/>
      </c>
      <c r="R36" s="74" t="str">
        <f t="shared" si="55"/>
        <v/>
      </c>
      <c r="S36" s="74" t="str">
        <f t="shared" si="55"/>
        <v/>
      </c>
      <c r="T36" s="74" t="str">
        <f t="shared" si="55"/>
        <v/>
      </c>
      <c r="U36" s="78" t="str">
        <f t="shared" si="55"/>
        <v/>
      </c>
      <c r="V36" s="78" t="str">
        <f t="shared" si="55"/>
        <v/>
      </c>
      <c r="W36" s="74" t="str">
        <f t="shared" si="55"/>
        <v/>
      </c>
      <c r="X36" s="74" t="str">
        <f t="shared" si="55"/>
        <v/>
      </c>
      <c r="Y36" s="74" t="str">
        <f t="shared" si="56"/>
        <v/>
      </c>
      <c r="Z36" s="74" t="str">
        <f t="shared" si="56"/>
        <v/>
      </c>
      <c r="AA36" s="75">
        <f t="shared" si="56"/>
        <v>0</v>
      </c>
      <c r="AB36" s="75">
        <f t="shared" si="56"/>
        <v>0</v>
      </c>
      <c r="AC36" s="75">
        <f t="shared" si="56"/>
        <v>0</v>
      </c>
      <c r="AD36" s="75">
        <f t="shared" si="56"/>
        <v>0</v>
      </c>
      <c r="AE36" s="75">
        <f t="shared" si="56"/>
        <v>0</v>
      </c>
      <c r="AF36" s="75">
        <f t="shared" si="56"/>
        <v>0</v>
      </c>
      <c r="AG36" s="75">
        <f t="shared" si="56"/>
        <v>0</v>
      </c>
      <c r="AH36" s="75">
        <f t="shared" si="56"/>
        <v>0</v>
      </c>
      <c r="AI36" s="75">
        <f t="shared" si="57"/>
        <v>0</v>
      </c>
      <c r="AJ36" s="75">
        <f t="shared" si="57"/>
        <v>0</v>
      </c>
      <c r="AK36" s="75">
        <f t="shared" si="57"/>
        <v>0</v>
      </c>
      <c r="AL36" s="75">
        <f t="shared" si="57"/>
        <v>0</v>
      </c>
      <c r="AM36" s="75">
        <f t="shared" si="57"/>
        <v>0</v>
      </c>
      <c r="AN36" s="75">
        <f t="shared" si="57"/>
        <v>0</v>
      </c>
      <c r="AO36" s="76">
        <f t="shared" si="57"/>
        <v>0</v>
      </c>
      <c r="AP36" s="76">
        <f t="shared" si="57"/>
        <v>0</v>
      </c>
      <c r="AQ36" s="76">
        <f t="shared" si="57"/>
        <v>0</v>
      </c>
      <c r="AR36" s="76">
        <f t="shared" si="57"/>
        <v>0</v>
      </c>
      <c r="AS36" s="76">
        <f t="shared" si="58"/>
        <v>0</v>
      </c>
      <c r="AT36" s="77">
        <f t="shared" si="58"/>
        <v>0</v>
      </c>
      <c r="AU36" s="77">
        <f t="shared" si="58"/>
        <v>0</v>
      </c>
      <c r="AV36" s="77">
        <f t="shared" si="58"/>
        <v>0</v>
      </c>
      <c r="AW36" s="78" t="str">
        <f t="shared" si="58"/>
        <v/>
      </c>
      <c r="AX36" s="78" t="str">
        <f t="shared" si="58"/>
        <v/>
      </c>
      <c r="AY36" s="74" t="str">
        <f t="shared" si="58"/>
        <v/>
      </c>
      <c r="AZ36" s="74" t="str">
        <f t="shared" si="58"/>
        <v/>
      </c>
      <c r="BA36" s="74" t="str">
        <f t="shared" si="58"/>
        <v/>
      </c>
      <c r="BB36" s="74" t="str">
        <f t="shared" si="58"/>
        <v/>
      </c>
      <c r="BC36" s="74" t="str">
        <f t="shared" si="59"/>
        <v/>
      </c>
      <c r="BD36" s="78" t="str">
        <f t="shared" si="59"/>
        <v/>
      </c>
      <c r="BE36" s="78" t="str">
        <f t="shared" si="59"/>
        <v/>
      </c>
      <c r="BF36" s="74" t="str">
        <f t="shared" si="59"/>
        <v/>
      </c>
      <c r="BG36" s="74" t="str">
        <f t="shared" si="59"/>
        <v/>
      </c>
      <c r="BH36" s="74" t="str">
        <f t="shared" si="59"/>
        <v/>
      </c>
      <c r="BI36" s="74" t="str">
        <f t="shared" si="59"/>
        <v/>
      </c>
      <c r="BJ36" s="74" t="str">
        <f t="shared" si="59"/>
        <v/>
      </c>
      <c r="BK36" s="78" t="str">
        <f t="shared" si="59"/>
        <v/>
      </c>
      <c r="BL36" s="78" t="str">
        <f t="shared" si="59"/>
        <v/>
      </c>
      <c r="BM36" s="74" t="str">
        <f t="shared" si="60"/>
        <v/>
      </c>
      <c r="BN36" s="74" t="str">
        <f t="shared" si="60"/>
        <v/>
      </c>
      <c r="BO36" s="74" t="str">
        <f t="shared" si="60"/>
        <v/>
      </c>
      <c r="BP36" s="74" t="str">
        <f t="shared" si="60"/>
        <v/>
      </c>
      <c r="BQ36" s="74" t="str">
        <f t="shared" si="60"/>
        <v/>
      </c>
      <c r="BR36" s="78" t="str">
        <f t="shared" si="60"/>
        <v/>
      </c>
      <c r="BS36" s="78" t="str">
        <f t="shared" si="60"/>
        <v/>
      </c>
      <c r="BT36" s="74" t="str">
        <f t="shared" si="60"/>
        <v/>
      </c>
      <c r="BU36" s="74" t="str">
        <f t="shared" si="60"/>
        <v/>
      </c>
      <c r="BV36" s="74" t="str">
        <f t="shared" si="60"/>
        <v/>
      </c>
      <c r="BW36" s="74" t="str">
        <f t="shared" si="61"/>
        <v/>
      </c>
      <c r="BX36" s="74" t="str">
        <f t="shared" si="61"/>
        <v/>
      </c>
      <c r="BY36" s="78" t="str">
        <f t="shared" si="61"/>
        <v/>
      </c>
      <c r="BZ36" s="78" t="str">
        <f t="shared" si="61"/>
        <v/>
      </c>
      <c r="CA36" s="74" t="str">
        <f t="shared" si="61"/>
        <v/>
      </c>
      <c r="CB36" s="74" t="str">
        <f t="shared" si="61"/>
        <v/>
      </c>
      <c r="CC36" s="74" t="str">
        <f t="shared" si="61"/>
        <v/>
      </c>
      <c r="CD36" s="74" t="str">
        <f t="shared" si="61"/>
        <v/>
      </c>
      <c r="CE36" s="74" t="str">
        <f t="shared" si="61"/>
        <v/>
      </c>
      <c r="CF36" s="78" t="str">
        <f t="shared" si="61"/>
        <v/>
      </c>
      <c r="CG36" s="78" t="str">
        <f t="shared" si="62"/>
        <v/>
      </c>
      <c r="CH36" s="74" t="str">
        <f t="shared" si="62"/>
        <v/>
      </c>
      <c r="CI36" s="74" t="str">
        <f t="shared" si="62"/>
        <v/>
      </c>
      <c r="CJ36" s="74" t="str">
        <f t="shared" si="62"/>
        <v/>
      </c>
      <c r="CK36" s="74" t="str">
        <f t="shared" si="62"/>
        <v/>
      </c>
      <c r="CL36" s="74" t="str">
        <f t="shared" si="62"/>
        <v/>
      </c>
      <c r="CM36" s="78" t="str">
        <f t="shared" si="62"/>
        <v/>
      </c>
      <c r="CN36" s="78" t="str">
        <f t="shared" si="62"/>
        <v/>
      </c>
      <c r="CO36" s="74" t="str">
        <f t="shared" si="62"/>
        <v/>
      </c>
      <c r="CP36" s="74" t="str">
        <f t="shared" si="62"/>
        <v/>
      </c>
      <c r="CQ36" s="74" t="str">
        <f t="shared" si="63"/>
        <v/>
      </c>
      <c r="CR36" s="74" t="str">
        <f t="shared" si="63"/>
        <v/>
      </c>
      <c r="CS36" s="74" t="str">
        <f t="shared" si="63"/>
        <v/>
      </c>
      <c r="CT36" s="78" t="str">
        <f t="shared" si="63"/>
        <v/>
      </c>
      <c r="CU36" s="78" t="str">
        <f t="shared" si="63"/>
        <v/>
      </c>
      <c r="CV36" s="74" t="str">
        <f t="shared" si="63"/>
        <v/>
      </c>
      <c r="CW36" s="74" t="str">
        <f t="shared" si="63"/>
        <v/>
      </c>
      <c r="CX36" s="74" t="str">
        <f t="shared" si="63"/>
        <v/>
      </c>
      <c r="CY36" s="74" t="str">
        <f t="shared" si="63"/>
        <v/>
      </c>
      <c r="CZ36" s="74" t="str">
        <f t="shared" si="63"/>
        <v/>
      </c>
      <c r="DA36" s="78" t="str">
        <f t="shared" si="64"/>
        <v/>
      </c>
      <c r="DB36" s="78" t="str">
        <f t="shared" si="64"/>
        <v/>
      </c>
      <c r="DC36" s="74" t="str">
        <f t="shared" si="64"/>
        <v/>
      </c>
      <c r="DD36" s="74" t="str">
        <f t="shared" si="64"/>
        <v/>
      </c>
      <c r="DE36" s="74" t="str">
        <f t="shared" si="64"/>
        <v/>
      </c>
      <c r="DF36" s="74" t="str">
        <f t="shared" si="64"/>
        <v/>
      </c>
      <c r="DG36" s="74" t="str">
        <f t="shared" si="64"/>
        <v/>
      </c>
      <c r="DH36" s="78" t="str">
        <f t="shared" si="64"/>
        <v/>
      </c>
      <c r="DI36" s="78" t="str">
        <f t="shared" si="64"/>
        <v/>
      </c>
      <c r="DJ36" s="74" t="str">
        <f t="shared" si="64"/>
        <v/>
      </c>
      <c r="DK36" s="74" t="str">
        <f t="shared" si="65"/>
        <v/>
      </c>
      <c r="DL36" s="74" t="str">
        <f t="shared" si="65"/>
        <v/>
      </c>
      <c r="DM36" s="74" t="str">
        <f t="shared" si="65"/>
        <v/>
      </c>
      <c r="DN36" s="74" t="str">
        <f t="shared" si="65"/>
        <v/>
      </c>
      <c r="DO36" s="78" t="str">
        <f t="shared" si="65"/>
        <v/>
      </c>
      <c r="DP36" s="78" t="str">
        <f t="shared" si="65"/>
        <v/>
      </c>
      <c r="DQ36" s="74" t="str">
        <f t="shared" si="65"/>
        <v/>
      </c>
      <c r="DR36" s="74" t="str">
        <f t="shared" si="65"/>
        <v/>
      </c>
      <c r="DS36" s="74" t="str">
        <f t="shared" si="65"/>
        <v/>
      </c>
      <c r="DT36" s="74" t="str">
        <f t="shared" si="65"/>
        <v/>
      </c>
      <c r="DU36" s="74" t="str">
        <f t="shared" si="66"/>
        <v/>
      </c>
      <c r="DV36" s="78" t="str">
        <f t="shared" si="66"/>
        <v/>
      </c>
      <c r="DW36" s="78" t="str">
        <f t="shared" si="66"/>
        <v/>
      </c>
      <c r="DX36" s="74" t="str">
        <f t="shared" si="66"/>
        <v/>
      </c>
      <c r="DY36" s="74" t="str">
        <f t="shared" si="66"/>
        <v/>
      </c>
      <c r="DZ36" s="74" t="str">
        <f t="shared" si="66"/>
        <v/>
      </c>
      <c r="EA36" s="74" t="str">
        <f t="shared" si="66"/>
        <v/>
      </c>
      <c r="EB36" s="74" t="str">
        <f t="shared" si="66"/>
        <v/>
      </c>
      <c r="EC36" s="78" t="str">
        <f t="shared" si="66"/>
        <v/>
      </c>
      <c r="ED36" s="78" t="str">
        <f t="shared" si="66"/>
        <v/>
      </c>
      <c r="EE36" s="74" t="str">
        <f t="shared" si="67"/>
        <v/>
      </c>
      <c r="EF36" s="74" t="str">
        <f t="shared" si="67"/>
        <v/>
      </c>
      <c r="EG36" s="74" t="str">
        <f t="shared" si="67"/>
        <v/>
      </c>
      <c r="EH36" s="74" t="str">
        <f t="shared" si="67"/>
        <v/>
      </c>
      <c r="EI36" s="74" t="str">
        <f t="shared" si="67"/>
        <v/>
      </c>
      <c r="EJ36" s="78" t="str">
        <f t="shared" si="67"/>
        <v/>
      </c>
      <c r="EK36" s="78" t="str">
        <f t="shared" si="67"/>
        <v/>
      </c>
      <c r="EL36" s="74" t="str">
        <f t="shared" si="67"/>
        <v/>
      </c>
      <c r="EM36" s="74" t="str">
        <f t="shared" si="67"/>
        <v/>
      </c>
      <c r="EN36" s="74" t="str">
        <f t="shared" si="67"/>
        <v/>
      </c>
      <c r="EO36" s="74" t="str">
        <f t="shared" si="68"/>
        <v/>
      </c>
      <c r="EP36" s="74" t="str">
        <f t="shared" si="68"/>
        <v/>
      </c>
      <c r="EQ36" s="78" t="str">
        <f t="shared" si="68"/>
        <v/>
      </c>
      <c r="ER36" s="78" t="str">
        <f t="shared" si="68"/>
        <v/>
      </c>
      <c r="ES36" s="74" t="str">
        <f t="shared" si="68"/>
        <v/>
      </c>
      <c r="ET36" s="74" t="str">
        <f t="shared" si="68"/>
        <v/>
      </c>
      <c r="EU36" s="74" t="str">
        <f t="shared" si="68"/>
        <v/>
      </c>
      <c r="EV36" s="74" t="str">
        <f t="shared" si="68"/>
        <v/>
      </c>
      <c r="EW36" s="74" t="str">
        <f t="shared" si="68"/>
        <v/>
      </c>
      <c r="EX36" s="78" t="str">
        <f t="shared" si="68"/>
        <v/>
      </c>
      <c r="EY36" s="78" t="str">
        <f t="shared" si="69"/>
        <v/>
      </c>
      <c r="EZ36" s="74" t="str">
        <f t="shared" si="69"/>
        <v/>
      </c>
      <c r="FA36" s="74" t="str">
        <f t="shared" si="69"/>
        <v/>
      </c>
      <c r="FB36" s="74" t="str">
        <f t="shared" si="69"/>
        <v/>
      </c>
      <c r="FC36" s="74" t="str">
        <f t="shared" si="69"/>
        <v/>
      </c>
      <c r="FD36" s="74" t="str">
        <f t="shared" si="69"/>
        <v/>
      </c>
      <c r="FE36" s="78" t="str">
        <f t="shared" si="69"/>
        <v/>
      </c>
      <c r="FF36" s="78" t="str">
        <f t="shared" si="69"/>
        <v/>
      </c>
      <c r="FG36" s="74" t="str">
        <f t="shared" si="69"/>
        <v/>
      </c>
      <c r="FH36" s="74" t="str">
        <f t="shared" si="69"/>
        <v/>
      </c>
      <c r="FI36" s="74" t="str">
        <f t="shared" si="70"/>
        <v/>
      </c>
      <c r="FJ36" s="74" t="str">
        <f t="shared" si="70"/>
        <v/>
      </c>
      <c r="FK36" s="74" t="str">
        <f t="shared" si="70"/>
        <v/>
      </c>
      <c r="FL36" s="78" t="str">
        <f t="shared" si="70"/>
        <v/>
      </c>
      <c r="FM36" s="78" t="str">
        <f t="shared" si="70"/>
        <v/>
      </c>
      <c r="FN36" s="74" t="str">
        <f t="shared" si="70"/>
        <v/>
      </c>
      <c r="FO36" s="74" t="str">
        <f t="shared" si="70"/>
        <v/>
      </c>
      <c r="FP36" s="74" t="str">
        <f t="shared" si="70"/>
        <v/>
      </c>
      <c r="FQ36" s="74" t="str">
        <f t="shared" si="70"/>
        <v/>
      </c>
      <c r="FR36" s="74" t="str">
        <f t="shared" si="70"/>
        <v/>
      </c>
      <c r="FS36" s="78" t="str">
        <f t="shared" si="71"/>
        <v/>
      </c>
      <c r="FT36" s="78" t="str">
        <f t="shared" si="71"/>
        <v/>
      </c>
      <c r="FU36" s="74" t="str">
        <f t="shared" si="71"/>
        <v/>
      </c>
      <c r="FV36" s="74" t="str">
        <f t="shared" si="71"/>
        <v/>
      </c>
      <c r="FW36" s="74" t="str">
        <f t="shared" si="71"/>
        <v/>
      </c>
      <c r="FX36" s="74" t="str">
        <f t="shared" si="71"/>
        <v/>
      </c>
      <c r="FY36" s="74" t="str">
        <f t="shared" si="71"/>
        <v/>
      </c>
      <c r="FZ36" s="78" t="str">
        <f t="shared" si="71"/>
        <v/>
      </c>
      <c r="GA36" s="78" t="str">
        <f t="shared" si="71"/>
        <v/>
      </c>
      <c r="GB36" s="74" t="str">
        <f t="shared" si="71"/>
        <v/>
      </c>
      <c r="GC36" s="74" t="str">
        <f t="shared" si="72"/>
        <v/>
      </c>
      <c r="GD36" s="74" t="str">
        <f t="shared" si="72"/>
        <v/>
      </c>
      <c r="GE36" s="74" t="str">
        <f t="shared" si="72"/>
        <v/>
      </c>
      <c r="GF36" s="74" t="str">
        <f t="shared" si="72"/>
        <v/>
      </c>
      <c r="GG36" s="78" t="str">
        <f t="shared" si="72"/>
        <v/>
      </c>
      <c r="GH36" s="78" t="str">
        <f t="shared" si="72"/>
        <v/>
      </c>
      <c r="GI36" s="74" t="str">
        <f t="shared" si="72"/>
        <v/>
      </c>
      <c r="GJ36" s="74" t="str">
        <f t="shared" si="72"/>
        <v/>
      </c>
      <c r="GK36" s="74" t="str">
        <f t="shared" si="72"/>
        <v/>
      </c>
      <c r="GL36" s="74" t="str">
        <f t="shared" si="72"/>
        <v/>
      </c>
      <c r="GM36" s="74" t="str">
        <f t="shared" si="73"/>
        <v/>
      </c>
      <c r="GN36" s="78" t="str">
        <f t="shared" si="73"/>
        <v/>
      </c>
      <c r="GO36" s="78" t="str">
        <f t="shared" si="73"/>
        <v/>
      </c>
      <c r="GP36" s="74" t="str">
        <f t="shared" si="73"/>
        <v/>
      </c>
      <c r="GQ36" s="74" t="str">
        <f t="shared" si="73"/>
        <v/>
      </c>
      <c r="GR36" s="74" t="str">
        <f t="shared" si="73"/>
        <v/>
      </c>
      <c r="GS36" s="74" t="str">
        <f t="shared" si="73"/>
        <v/>
      </c>
      <c r="GT36" s="74" t="str">
        <f t="shared" si="73"/>
        <v/>
      </c>
      <c r="GU36" s="78" t="str">
        <f t="shared" si="73"/>
        <v/>
      </c>
      <c r="GV36" s="78" t="str">
        <f t="shared" si="73"/>
        <v/>
      </c>
      <c r="GW36" s="74" t="str">
        <f t="shared" si="74"/>
        <v/>
      </c>
      <c r="GX36" s="74" t="str">
        <f t="shared" si="74"/>
        <v/>
      </c>
      <c r="GY36" s="74" t="str">
        <f t="shared" si="74"/>
        <v/>
      </c>
      <c r="GZ36" s="74" t="str">
        <f t="shared" si="74"/>
        <v/>
      </c>
      <c r="HA36" s="74" t="str">
        <f t="shared" si="74"/>
        <v/>
      </c>
      <c r="HB36" s="78" t="str">
        <f t="shared" si="74"/>
        <v/>
      </c>
      <c r="HC36" s="78" t="str">
        <f t="shared" si="74"/>
        <v/>
      </c>
      <c r="HD36" s="74" t="str">
        <f t="shared" si="74"/>
        <v/>
      </c>
      <c r="HE36" s="74" t="str">
        <f t="shared" si="74"/>
        <v/>
      </c>
      <c r="HF36" s="74" t="str">
        <f t="shared" si="74"/>
        <v/>
      </c>
      <c r="HG36" s="74" t="str">
        <f t="shared" si="74"/>
        <v/>
      </c>
      <c r="HH36" s="74" t="str">
        <f t="shared" si="74"/>
        <v/>
      </c>
    </row>
    <row r="37" spans="1:216" x14ac:dyDescent="0.2">
      <c r="A37" s="82" t="str">
        <f>'FY1 Event Pipeline'!A6</f>
        <v>MOTN DHA</v>
      </c>
      <c r="B37" s="83">
        <f>_xlfn.XLOOKUP(A37,'FY1 Event Pipeline'!$A$4:$A$15,'FY1 Event Pipeline'!$H$4:$H$15)</f>
        <v>46330</v>
      </c>
      <c r="C37" s="83">
        <f>_xlfn.XLOOKUP(A37,'FY1 Event Pipeline'!$A$4:$A$15,'FY1 Event Pipeline'!$J$4:$J$15)</f>
        <v>46352</v>
      </c>
      <c r="D37" s="84">
        <f>_xlfn.XLOOKUP(A37,'FY1 Event Pipeline'!$A$4:$A$15,'FY1 Event Pipeline'!$P$4:$P$15)</f>
        <v>350</v>
      </c>
      <c r="E37" s="74" t="str">
        <f t="shared" si="54"/>
        <v/>
      </c>
      <c r="F37" s="74" t="str">
        <f t="shared" si="54"/>
        <v/>
      </c>
      <c r="G37" s="78" t="str">
        <f t="shared" si="54"/>
        <v/>
      </c>
      <c r="H37" s="78" t="str">
        <f t="shared" si="54"/>
        <v/>
      </c>
      <c r="I37" s="74" t="str">
        <f t="shared" si="54"/>
        <v/>
      </c>
      <c r="J37" s="74" t="str">
        <f t="shared" si="54"/>
        <v/>
      </c>
      <c r="K37" s="74" t="str">
        <f t="shared" si="54"/>
        <v/>
      </c>
      <c r="L37" s="74" t="str">
        <f t="shared" si="54"/>
        <v/>
      </c>
      <c r="M37" s="74" t="str">
        <f t="shared" si="54"/>
        <v/>
      </c>
      <c r="N37" s="78" t="str">
        <f t="shared" si="54"/>
        <v/>
      </c>
      <c r="O37" s="78" t="str">
        <f t="shared" si="55"/>
        <v/>
      </c>
      <c r="P37" s="74" t="str">
        <f t="shared" si="55"/>
        <v/>
      </c>
      <c r="Q37" s="74" t="str">
        <f t="shared" si="55"/>
        <v/>
      </c>
      <c r="R37" s="74" t="str">
        <f t="shared" si="55"/>
        <v/>
      </c>
      <c r="S37" s="74" t="str">
        <f t="shared" si="55"/>
        <v/>
      </c>
      <c r="T37" s="74" t="str">
        <f t="shared" si="55"/>
        <v/>
      </c>
      <c r="U37" s="78" t="str">
        <f t="shared" si="55"/>
        <v/>
      </c>
      <c r="V37" s="78" t="str">
        <f t="shared" si="55"/>
        <v/>
      </c>
      <c r="W37" s="74" t="str">
        <f t="shared" si="55"/>
        <v/>
      </c>
      <c r="X37" s="74" t="str">
        <f t="shared" si="55"/>
        <v/>
      </c>
      <c r="Y37" s="74" t="str">
        <f t="shared" si="56"/>
        <v/>
      </c>
      <c r="Z37" s="74" t="str">
        <f t="shared" si="56"/>
        <v/>
      </c>
      <c r="AA37" s="74" t="str">
        <f t="shared" si="56"/>
        <v/>
      </c>
      <c r="AB37" s="78" t="str">
        <f t="shared" si="56"/>
        <v/>
      </c>
      <c r="AC37" s="78" t="str">
        <f t="shared" si="56"/>
        <v/>
      </c>
      <c r="AD37" s="74" t="str">
        <f t="shared" si="56"/>
        <v/>
      </c>
      <c r="AE37" s="74" t="str">
        <f t="shared" si="56"/>
        <v/>
      </c>
      <c r="AF37" s="74" t="str">
        <f t="shared" si="56"/>
        <v/>
      </c>
      <c r="AG37" s="74" t="str">
        <f t="shared" si="56"/>
        <v/>
      </c>
      <c r="AH37" s="74" t="str">
        <f t="shared" si="56"/>
        <v/>
      </c>
      <c r="AI37" s="78" t="str">
        <f t="shared" si="57"/>
        <v/>
      </c>
      <c r="AJ37" s="78" t="str">
        <f t="shared" si="57"/>
        <v/>
      </c>
      <c r="AK37" s="74" t="str">
        <f t="shared" si="57"/>
        <v/>
      </c>
      <c r="AL37" s="74" t="str">
        <f t="shared" si="57"/>
        <v/>
      </c>
      <c r="AM37" s="75">
        <f t="shared" si="57"/>
        <v>350</v>
      </c>
      <c r="AN37" s="75">
        <f t="shared" si="57"/>
        <v>350</v>
      </c>
      <c r="AO37" s="75">
        <f t="shared" si="57"/>
        <v>350</v>
      </c>
      <c r="AP37" s="75">
        <f t="shared" si="57"/>
        <v>350</v>
      </c>
      <c r="AQ37" s="75">
        <f t="shared" si="57"/>
        <v>350</v>
      </c>
      <c r="AR37" s="75">
        <f t="shared" si="57"/>
        <v>350</v>
      </c>
      <c r="AS37" s="75">
        <f t="shared" si="58"/>
        <v>350</v>
      </c>
      <c r="AT37" s="75">
        <f t="shared" si="58"/>
        <v>350</v>
      </c>
      <c r="AU37" s="75">
        <f t="shared" si="58"/>
        <v>350</v>
      </c>
      <c r="AV37" s="75">
        <f t="shared" si="58"/>
        <v>350</v>
      </c>
      <c r="AW37" s="75">
        <f t="shared" si="58"/>
        <v>350</v>
      </c>
      <c r="AX37" s="75">
        <f t="shared" si="58"/>
        <v>350</v>
      </c>
      <c r="AY37" s="75">
        <f t="shared" si="58"/>
        <v>350</v>
      </c>
      <c r="AZ37" s="75">
        <f t="shared" si="58"/>
        <v>350</v>
      </c>
      <c r="BA37" s="76">
        <f t="shared" si="58"/>
        <v>350</v>
      </c>
      <c r="BB37" s="76">
        <f t="shared" si="58"/>
        <v>350</v>
      </c>
      <c r="BC37" s="76">
        <f t="shared" si="59"/>
        <v>350</v>
      </c>
      <c r="BD37" s="76">
        <f t="shared" si="59"/>
        <v>350</v>
      </c>
      <c r="BE37" s="76">
        <f t="shared" si="59"/>
        <v>350</v>
      </c>
      <c r="BF37" s="76">
        <f t="shared" si="59"/>
        <v>350</v>
      </c>
      <c r="BG37" s="77">
        <f t="shared" si="59"/>
        <v>350</v>
      </c>
      <c r="BH37" s="77">
        <f t="shared" si="59"/>
        <v>350</v>
      </c>
      <c r="BI37" s="77">
        <f t="shared" si="59"/>
        <v>350</v>
      </c>
      <c r="BJ37" s="74" t="str">
        <f t="shared" si="59"/>
        <v/>
      </c>
      <c r="BK37" s="78" t="str">
        <f t="shared" si="59"/>
        <v/>
      </c>
      <c r="BL37" s="78" t="str">
        <f t="shared" si="59"/>
        <v/>
      </c>
      <c r="BM37" s="74" t="str">
        <f t="shared" si="60"/>
        <v/>
      </c>
      <c r="BN37" s="74" t="str">
        <f t="shared" si="60"/>
        <v/>
      </c>
      <c r="BO37" s="74" t="str">
        <f t="shared" si="60"/>
        <v/>
      </c>
      <c r="BP37" s="74" t="str">
        <f t="shared" si="60"/>
        <v/>
      </c>
      <c r="BQ37" s="74" t="str">
        <f t="shared" si="60"/>
        <v/>
      </c>
      <c r="BR37" s="78" t="str">
        <f t="shared" si="60"/>
        <v/>
      </c>
      <c r="BS37" s="78" t="str">
        <f t="shared" si="60"/>
        <v/>
      </c>
      <c r="BT37" s="74" t="str">
        <f t="shared" si="60"/>
        <v/>
      </c>
      <c r="BU37" s="74" t="str">
        <f t="shared" si="60"/>
        <v/>
      </c>
      <c r="BV37" s="74" t="str">
        <f t="shared" si="60"/>
        <v/>
      </c>
      <c r="BW37" s="74" t="str">
        <f t="shared" si="61"/>
        <v/>
      </c>
      <c r="BX37" s="74" t="str">
        <f t="shared" si="61"/>
        <v/>
      </c>
      <c r="BY37" s="78" t="str">
        <f t="shared" si="61"/>
        <v/>
      </c>
      <c r="BZ37" s="78" t="str">
        <f t="shared" si="61"/>
        <v/>
      </c>
      <c r="CA37" s="74" t="str">
        <f t="shared" si="61"/>
        <v/>
      </c>
      <c r="CB37" s="74" t="str">
        <f t="shared" si="61"/>
        <v/>
      </c>
      <c r="CC37" s="74" t="str">
        <f t="shared" si="61"/>
        <v/>
      </c>
      <c r="CD37" s="74" t="str">
        <f t="shared" si="61"/>
        <v/>
      </c>
      <c r="CE37" s="74" t="str">
        <f t="shared" si="61"/>
        <v/>
      </c>
      <c r="CF37" s="78" t="str">
        <f t="shared" si="61"/>
        <v/>
      </c>
      <c r="CG37" s="78" t="str">
        <f t="shared" si="62"/>
        <v/>
      </c>
      <c r="CH37" s="74" t="str">
        <f t="shared" si="62"/>
        <v/>
      </c>
      <c r="CI37" s="74" t="str">
        <f t="shared" si="62"/>
        <v/>
      </c>
      <c r="CJ37" s="74" t="str">
        <f t="shared" si="62"/>
        <v/>
      </c>
      <c r="CK37" s="74" t="str">
        <f t="shared" si="62"/>
        <v/>
      </c>
      <c r="CL37" s="74" t="str">
        <f t="shared" si="62"/>
        <v/>
      </c>
      <c r="CM37" s="78" t="str">
        <f t="shared" si="62"/>
        <v/>
      </c>
      <c r="CN37" s="78" t="str">
        <f t="shared" si="62"/>
        <v/>
      </c>
      <c r="CO37" s="74" t="str">
        <f t="shared" si="62"/>
        <v/>
      </c>
      <c r="CP37" s="74" t="str">
        <f t="shared" si="62"/>
        <v/>
      </c>
      <c r="CQ37" s="74" t="str">
        <f t="shared" si="63"/>
        <v/>
      </c>
      <c r="CR37" s="74" t="str">
        <f t="shared" si="63"/>
        <v/>
      </c>
      <c r="CS37" s="74" t="str">
        <f t="shared" si="63"/>
        <v/>
      </c>
      <c r="CT37" s="78" t="str">
        <f t="shared" si="63"/>
        <v/>
      </c>
      <c r="CU37" s="78" t="str">
        <f t="shared" si="63"/>
        <v/>
      </c>
      <c r="CV37" s="74" t="str">
        <f t="shared" si="63"/>
        <v/>
      </c>
      <c r="CW37" s="74" t="str">
        <f t="shared" si="63"/>
        <v/>
      </c>
      <c r="CX37" s="74" t="str">
        <f t="shared" si="63"/>
        <v/>
      </c>
      <c r="CY37" s="74" t="str">
        <f t="shared" si="63"/>
        <v/>
      </c>
      <c r="CZ37" s="74" t="str">
        <f t="shared" si="63"/>
        <v/>
      </c>
      <c r="DA37" s="78" t="str">
        <f t="shared" si="64"/>
        <v/>
      </c>
      <c r="DB37" s="78" t="str">
        <f t="shared" si="64"/>
        <v/>
      </c>
      <c r="DC37" s="74" t="str">
        <f t="shared" si="64"/>
        <v/>
      </c>
      <c r="DD37" s="74" t="str">
        <f t="shared" si="64"/>
        <v/>
      </c>
      <c r="DE37" s="74" t="str">
        <f t="shared" si="64"/>
        <v/>
      </c>
      <c r="DF37" s="74" t="str">
        <f t="shared" si="64"/>
        <v/>
      </c>
      <c r="DG37" s="74" t="str">
        <f t="shared" si="64"/>
        <v/>
      </c>
      <c r="DH37" s="78" t="str">
        <f t="shared" si="64"/>
        <v/>
      </c>
      <c r="DI37" s="78" t="str">
        <f t="shared" si="64"/>
        <v/>
      </c>
      <c r="DJ37" s="74" t="str">
        <f t="shared" si="64"/>
        <v/>
      </c>
      <c r="DK37" s="74" t="str">
        <f t="shared" si="65"/>
        <v/>
      </c>
      <c r="DL37" s="74" t="str">
        <f t="shared" si="65"/>
        <v/>
      </c>
      <c r="DM37" s="74" t="str">
        <f t="shared" si="65"/>
        <v/>
      </c>
      <c r="DN37" s="74" t="str">
        <f t="shared" si="65"/>
        <v/>
      </c>
      <c r="DO37" s="78" t="str">
        <f t="shared" si="65"/>
        <v/>
      </c>
      <c r="DP37" s="78" t="str">
        <f t="shared" si="65"/>
        <v/>
      </c>
      <c r="DQ37" s="74" t="str">
        <f t="shared" si="65"/>
        <v/>
      </c>
      <c r="DR37" s="74" t="str">
        <f t="shared" si="65"/>
        <v/>
      </c>
      <c r="DS37" s="74" t="str">
        <f t="shared" si="65"/>
        <v/>
      </c>
      <c r="DT37" s="74" t="str">
        <f t="shared" si="65"/>
        <v/>
      </c>
      <c r="DU37" s="74" t="str">
        <f t="shared" si="66"/>
        <v/>
      </c>
      <c r="DV37" s="78" t="str">
        <f t="shared" si="66"/>
        <v/>
      </c>
      <c r="DW37" s="78" t="str">
        <f t="shared" si="66"/>
        <v/>
      </c>
      <c r="DX37" s="74" t="str">
        <f t="shared" si="66"/>
        <v/>
      </c>
      <c r="DY37" s="74" t="str">
        <f t="shared" si="66"/>
        <v/>
      </c>
      <c r="DZ37" s="74" t="str">
        <f t="shared" si="66"/>
        <v/>
      </c>
      <c r="EA37" s="74" t="str">
        <f t="shared" si="66"/>
        <v/>
      </c>
      <c r="EB37" s="74" t="str">
        <f t="shared" si="66"/>
        <v/>
      </c>
      <c r="EC37" s="78" t="str">
        <f t="shared" si="66"/>
        <v/>
      </c>
      <c r="ED37" s="78" t="str">
        <f t="shared" si="66"/>
        <v/>
      </c>
      <c r="EE37" s="74" t="str">
        <f t="shared" si="67"/>
        <v/>
      </c>
      <c r="EF37" s="74" t="str">
        <f t="shared" si="67"/>
        <v/>
      </c>
      <c r="EG37" s="74" t="str">
        <f t="shared" si="67"/>
        <v/>
      </c>
      <c r="EH37" s="74" t="str">
        <f t="shared" si="67"/>
        <v/>
      </c>
      <c r="EI37" s="74" t="str">
        <f t="shared" si="67"/>
        <v/>
      </c>
      <c r="EJ37" s="78" t="str">
        <f t="shared" si="67"/>
        <v/>
      </c>
      <c r="EK37" s="78" t="str">
        <f t="shared" si="67"/>
        <v/>
      </c>
      <c r="EL37" s="74" t="str">
        <f t="shared" si="67"/>
        <v/>
      </c>
      <c r="EM37" s="74" t="str">
        <f t="shared" si="67"/>
        <v/>
      </c>
      <c r="EN37" s="74" t="str">
        <f t="shared" si="67"/>
        <v/>
      </c>
      <c r="EO37" s="74" t="str">
        <f t="shared" si="68"/>
        <v/>
      </c>
      <c r="EP37" s="74" t="str">
        <f t="shared" si="68"/>
        <v/>
      </c>
      <c r="EQ37" s="78" t="str">
        <f t="shared" si="68"/>
        <v/>
      </c>
      <c r="ER37" s="78" t="str">
        <f t="shared" si="68"/>
        <v/>
      </c>
      <c r="ES37" s="74" t="str">
        <f t="shared" si="68"/>
        <v/>
      </c>
      <c r="ET37" s="74" t="str">
        <f t="shared" si="68"/>
        <v/>
      </c>
      <c r="EU37" s="74" t="str">
        <f t="shared" si="68"/>
        <v/>
      </c>
      <c r="EV37" s="74" t="str">
        <f t="shared" si="68"/>
        <v/>
      </c>
      <c r="EW37" s="74" t="str">
        <f t="shared" si="68"/>
        <v/>
      </c>
      <c r="EX37" s="78" t="str">
        <f t="shared" si="68"/>
        <v/>
      </c>
      <c r="EY37" s="78" t="str">
        <f t="shared" si="69"/>
        <v/>
      </c>
      <c r="EZ37" s="74" t="str">
        <f t="shared" si="69"/>
        <v/>
      </c>
      <c r="FA37" s="74" t="str">
        <f t="shared" si="69"/>
        <v/>
      </c>
      <c r="FB37" s="74" t="str">
        <f t="shared" si="69"/>
        <v/>
      </c>
      <c r="FC37" s="74" t="str">
        <f t="shared" si="69"/>
        <v/>
      </c>
      <c r="FD37" s="74" t="str">
        <f t="shared" si="69"/>
        <v/>
      </c>
      <c r="FE37" s="78" t="str">
        <f t="shared" si="69"/>
        <v/>
      </c>
      <c r="FF37" s="78" t="str">
        <f t="shared" si="69"/>
        <v/>
      </c>
      <c r="FG37" s="74" t="str">
        <f t="shared" si="69"/>
        <v/>
      </c>
      <c r="FH37" s="74" t="str">
        <f t="shared" si="69"/>
        <v/>
      </c>
      <c r="FI37" s="74" t="str">
        <f t="shared" si="70"/>
        <v/>
      </c>
      <c r="FJ37" s="74" t="str">
        <f t="shared" si="70"/>
        <v/>
      </c>
      <c r="FK37" s="74" t="str">
        <f t="shared" si="70"/>
        <v/>
      </c>
      <c r="FL37" s="78" t="str">
        <f t="shared" si="70"/>
        <v/>
      </c>
      <c r="FM37" s="78" t="str">
        <f t="shared" si="70"/>
        <v/>
      </c>
      <c r="FN37" s="74" t="str">
        <f t="shared" si="70"/>
        <v/>
      </c>
      <c r="FO37" s="74" t="str">
        <f t="shared" si="70"/>
        <v/>
      </c>
      <c r="FP37" s="74" t="str">
        <f t="shared" si="70"/>
        <v/>
      </c>
      <c r="FQ37" s="74" t="str">
        <f t="shared" si="70"/>
        <v/>
      </c>
      <c r="FR37" s="74" t="str">
        <f t="shared" si="70"/>
        <v/>
      </c>
      <c r="FS37" s="78" t="str">
        <f t="shared" si="71"/>
        <v/>
      </c>
      <c r="FT37" s="78" t="str">
        <f t="shared" si="71"/>
        <v/>
      </c>
      <c r="FU37" s="74" t="str">
        <f t="shared" si="71"/>
        <v/>
      </c>
      <c r="FV37" s="74" t="str">
        <f t="shared" si="71"/>
        <v/>
      </c>
      <c r="FW37" s="74" t="str">
        <f t="shared" si="71"/>
        <v/>
      </c>
      <c r="FX37" s="74" t="str">
        <f t="shared" si="71"/>
        <v/>
      </c>
      <c r="FY37" s="74" t="str">
        <f t="shared" si="71"/>
        <v/>
      </c>
      <c r="FZ37" s="78" t="str">
        <f t="shared" si="71"/>
        <v/>
      </c>
      <c r="GA37" s="78" t="str">
        <f t="shared" si="71"/>
        <v/>
      </c>
      <c r="GB37" s="74" t="str">
        <f t="shared" si="71"/>
        <v/>
      </c>
      <c r="GC37" s="74" t="str">
        <f t="shared" si="72"/>
        <v/>
      </c>
      <c r="GD37" s="74" t="str">
        <f t="shared" si="72"/>
        <v/>
      </c>
      <c r="GE37" s="74" t="str">
        <f t="shared" si="72"/>
        <v/>
      </c>
      <c r="GF37" s="74" t="str">
        <f t="shared" si="72"/>
        <v/>
      </c>
      <c r="GG37" s="78" t="str">
        <f t="shared" si="72"/>
        <v/>
      </c>
      <c r="GH37" s="78" t="str">
        <f t="shared" si="72"/>
        <v/>
      </c>
      <c r="GI37" s="74" t="str">
        <f t="shared" si="72"/>
        <v/>
      </c>
      <c r="GJ37" s="74" t="str">
        <f t="shared" si="72"/>
        <v/>
      </c>
      <c r="GK37" s="74" t="str">
        <f t="shared" si="72"/>
        <v/>
      </c>
      <c r="GL37" s="74" t="str">
        <f t="shared" si="72"/>
        <v/>
      </c>
      <c r="GM37" s="74" t="str">
        <f t="shared" si="73"/>
        <v/>
      </c>
      <c r="GN37" s="78" t="str">
        <f t="shared" si="73"/>
        <v/>
      </c>
      <c r="GO37" s="78" t="str">
        <f t="shared" si="73"/>
        <v/>
      </c>
      <c r="GP37" s="74" t="str">
        <f t="shared" si="73"/>
        <v/>
      </c>
      <c r="GQ37" s="74" t="str">
        <f t="shared" si="73"/>
        <v/>
      </c>
      <c r="GR37" s="74" t="str">
        <f t="shared" si="73"/>
        <v/>
      </c>
      <c r="GS37" s="74" t="str">
        <f t="shared" si="73"/>
        <v/>
      </c>
      <c r="GT37" s="74" t="str">
        <f t="shared" si="73"/>
        <v/>
      </c>
      <c r="GU37" s="78" t="str">
        <f t="shared" si="73"/>
        <v/>
      </c>
      <c r="GV37" s="78" t="str">
        <f t="shared" si="73"/>
        <v/>
      </c>
      <c r="GW37" s="74" t="str">
        <f t="shared" si="74"/>
        <v/>
      </c>
      <c r="GX37" s="74" t="str">
        <f t="shared" si="74"/>
        <v/>
      </c>
      <c r="GY37" s="74" t="str">
        <f t="shared" si="74"/>
        <v/>
      </c>
      <c r="GZ37" s="74" t="str">
        <f t="shared" si="74"/>
        <v/>
      </c>
      <c r="HA37" s="74" t="str">
        <f t="shared" si="74"/>
        <v/>
      </c>
      <c r="HB37" s="78" t="str">
        <f t="shared" si="74"/>
        <v/>
      </c>
      <c r="HC37" s="78" t="str">
        <f t="shared" si="74"/>
        <v/>
      </c>
      <c r="HD37" s="74" t="str">
        <f t="shared" si="74"/>
        <v/>
      </c>
      <c r="HE37" s="74" t="str">
        <f t="shared" si="74"/>
        <v/>
      </c>
      <c r="HF37" s="74" t="str">
        <f t="shared" si="74"/>
        <v/>
      </c>
      <c r="HG37" s="74" t="str">
        <f t="shared" si="74"/>
        <v/>
      </c>
      <c r="HH37" s="74" t="str">
        <f t="shared" si="74"/>
        <v/>
      </c>
    </row>
    <row r="38" spans="1:216" x14ac:dyDescent="0.2">
      <c r="A38" s="82" t="str">
        <f>'FY1 Event Pipeline'!A7</f>
        <v>No Art UAE</v>
      </c>
      <c r="B38" s="83">
        <f>_xlfn.XLOOKUP(A38,'FY1 Event Pipeline'!$A$4:$A$15,'FY1 Event Pipeline'!$H$4:$H$15)</f>
        <v>46332</v>
      </c>
      <c r="C38" s="83">
        <f>_xlfn.XLOOKUP(A38,'FY1 Event Pipeline'!$A$4:$A$15,'FY1 Event Pipeline'!$J$4:$J$15)</f>
        <v>46353</v>
      </c>
      <c r="D38" s="84">
        <f>_xlfn.XLOOKUP(A38,'FY1 Event Pipeline'!$A$4:$A$15,'FY1 Event Pipeline'!$P$4:$P$15)</f>
        <v>0</v>
      </c>
      <c r="E38" s="74" t="str">
        <f t="shared" si="54"/>
        <v/>
      </c>
      <c r="F38" s="74" t="str">
        <f t="shared" si="54"/>
        <v/>
      </c>
      <c r="G38" s="78" t="str">
        <f t="shared" si="54"/>
        <v/>
      </c>
      <c r="H38" s="78" t="str">
        <f t="shared" si="54"/>
        <v/>
      </c>
      <c r="I38" s="74" t="str">
        <f t="shared" si="54"/>
        <v/>
      </c>
      <c r="J38" s="74" t="str">
        <f t="shared" si="54"/>
        <v/>
      </c>
      <c r="K38" s="74" t="str">
        <f t="shared" si="54"/>
        <v/>
      </c>
      <c r="L38" s="74" t="str">
        <f t="shared" si="54"/>
        <v/>
      </c>
      <c r="M38" s="74" t="str">
        <f t="shared" si="54"/>
        <v/>
      </c>
      <c r="N38" s="78" t="str">
        <f t="shared" si="54"/>
        <v/>
      </c>
      <c r="O38" s="78" t="str">
        <f t="shared" si="55"/>
        <v/>
      </c>
      <c r="P38" s="74" t="str">
        <f t="shared" si="55"/>
        <v/>
      </c>
      <c r="Q38" s="74" t="str">
        <f t="shared" si="55"/>
        <v/>
      </c>
      <c r="R38" s="74" t="str">
        <f t="shared" si="55"/>
        <v/>
      </c>
      <c r="S38" s="74" t="str">
        <f t="shared" si="55"/>
        <v/>
      </c>
      <c r="T38" s="74" t="str">
        <f t="shared" si="55"/>
        <v/>
      </c>
      <c r="U38" s="78" t="str">
        <f t="shared" si="55"/>
        <v/>
      </c>
      <c r="V38" s="78" t="str">
        <f t="shared" si="55"/>
        <v/>
      </c>
      <c r="W38" s="74" t="str">
        <f t="shared" si="55"/>
        <v/>
      </c>
      <c r="X38" s="74" t="str">
        <f t="shared" si="55"/>
        <v/>
      </c>
      <c r="Y38" s="74" t="str">
        <f t="shared" si="56"/>
        <v/>
      </c>
      <c r="Z38" s="74" t="str">
        <f t="shared" si="56"/>
        <v/>
      </c>
      <c r="AA38" s="74" t="str">
        <f t="shared" si="56"/>
        <v/>
      </c>
      <c r="AB38" s="78" t="str">
        <f t="shared" si="56"/>
        <v/>
      </c>
      <c r="AC38" s="78" t="str">
        <f t="shared" si="56"/>
        <v/>
      </c>
      <c r="AD38" s="74" t="str">
        <f t="shared" si="56"/>
        <v/>
      </c>
      <c r="AE38" s="74" t="str">
        <f t="shared" si="56"/>
        <v/>
      </c>
      <c r="AF38" s="74" t="str">
        <f t="shared" si="56"/>
        <v/>
      </c>
      <c r="AG38" s="74" t="str">
        <f t="shared" si="56"/>
        <v/>
      </c>
      <c r="AH38" s="74" t="str">
        <f t="shared" si="56"/>
        <v/>
      </c>
      <c r="AI38" s="78" t="str">
        <f t="shared" si="57"/>
        <v/>
      </c>
      <c r="AJ38" s="78" t="str">
        <f t="shared" si="57"/>
        <v/>
      </c>
      <c r="AK38" s="74" t="str">
        <f t="shared" si="57"/>
        <v/>
      </c>
      <c r="AL38" s="74" t="str">
        <f t="shared" si="57"/>
        <v/>
      </c>
      <c r="AM38" s="74" t="str">
        <f t="shared" si="57"/>
        <v/>
      </c>
      <c r="AN38" s="74" t="str">
        <f t="shared" si="57"/>
        <v/>
      </c>
      <c r="AO38" s="75">
        <f t="shared" si="57"/>
        <v>0</v>
      </c>
      <c r="AP38" s="75">
        <f t="shared" si="57"/>
        <v>0</v>
      </c>
      <c r="AQ38" s="75">
        <f t="shared" si="57"/>
        <v>0</v>
      </c>
      <c r="AR38" s="75">
        <f t="shared" si="57"/>
        <v>0</v>
      </c>
      <c r="AS38" s="75">
        <f t="shared" si="58"/>
        <v>0</v>
      </c>
      <c r="AT38" s="75">
        <f t="shared" si="58"/>
        <v>0</v>
      </c>
      <c r="AU38" s="75">
        <f t="shared" si="58"/>
        <v>0</v>
      </c>
      <c r="AV38" s="75">
        <f t="shared" si="58"/>
        <v>0</v>
      </c>
      <c r="AW38" s="75">
        <f t="shared" si="58"/>
        <v>0</v>
      </c>
      <c r="AX38" s="75">
        <f t="shared" si="58"/>
        <v>0</v>
      </c>
      <c r="AY38" s="75">
        <f t="shared" si="58"/>
        <v>0</v>
      </c>
      <c r="AZ38" s="75">
        <f t="shared" si="58"/>
        <v>0</v>
      </c>
      <c r="BA38" s="75">
        <f t="shared" si="58"/>
        <v>0</v>
      </c>
      <c r="BB38" s="75">
        <f t="shared" si="58"/>
        <v>0</v>
      </c>
      <c r="BC38" s="76">
        <f t="shared" si="59"/>
        <v>0</v>
      </c>
      <c r="BD38" s="76">
        <f t="shared" si="59"/>
        <v>0</v>
      </c>
      <c r="BE38" s="76">
        <f t="shared" si="59"/>
        <v>0</v>
      </c>
      <c r="BF38" s="76">
        <f t="shared" si="59"/>
        <v>0</v>
      </c>
      <c r="BG38" s="76">
        <f t="shared" si="59"/>
        <v>0</v>
      </c>
      <c r="BH38" s="77">
        <f t="shared" si="59"/>
        <v>0</v>
      </c>
      <c r="BI38" s="77">
        <f t="shared" si="59"/>
        <v>0</v>
      </c>
      <c r="BJ38" s="77">
        <f t="shared" si="59"/>
        <v>0</v>
      </c>
      <c r="BK38" s="78" t="str">
        <f t="shared" si="59"/>
        <v/>
      </c>
      <c r="BL38" s="78" t="str">
        <f t="shared" si="59"/>
        <v/>
      </c>
      <c r="BM38" s="74" t="str">
        <f t="shared" si="60"/>
        <v/>
      </c>
      <c r="BN38" s="74" t="str">
        <f t="shared" si="60"/>
        <v/>
      </c>
      <c r="BO38" s="74" t="str">
        <f t="shared" si="60"/>
        <v/>
      </c>
      <c r="BP38" s="74" t="str">
        <f t="shared" si="60"/>
        <v/>
      </c>
      <c r="BQ38" s="74" t="str">
        <f t="shared" si="60"/>
        <v/>
      </c>
      <c r="BR38" s="78" t="str">
        <f t="shared" si="60"/>
        <v/>
      </c>
      <c r="BS38" s="78" t="str">
        <f t="shared" si="60"/>
        <v/>
      </c>
      <c r="BT38" s="74" t="str">
        <f t="shared" si="60"/>
        <v/>
      </c>
      <c r="BU38" s="74" t="str">
        <f t="shared" si="60"/>
        <v/>
      </c>
      <c r="BV38" s="74" t="str">
        <f t="shared" si="60"/>
        <v/>
      </c>
      <c r="BW38" s="74" t="str">
        <f t="shared" si="61"/>
        <v/>
      </c>
      <c r="BX38" s="74" t="str">
        <f t="shared" si="61"/>
        <v/>
      </c>
      <c r="BY38" s="78" t="str">
        <f t="shared" si="61"/>
        <v/>
      </c>
      <c r="BZ38" s="78" t="str">
        <f t="shared" si="61"/>
        <v/>
      </c>
      <c r="CA38" s="74" t="str">
        <f t="shared" si="61"/>
        <v/>
      </c>
      <c r="CB38" s="74" t="str">
        <f t="shared" si="61"/>
        <v/>
      </c>
      <c r="CC38" s="74" t="str">
        <f t="shared" si="61"/>
        <v/>
      </c>
      <c r="CD38" s="74" t="str">
        <f t="shared" si="61"/>
        <v/>
      </c>
      <c r="CE38" s="74" t="str">
        <f t="shared" si="61"/>
        <v/>
      </c>
      <c r="CF38" s="78" t="str">
        <f t="shared" si="61"/>
        <v/>
      </c>
      <c r="CG38" s="78" t="str">
        <f t="shared" si="62"/>
        <v/>
      </c>
      <c r="CH38" s="74" t="str">
        <f t="shared" si="62"/>
        <v/>
      </c>
      <c r="CI38" s="74" t="str">
        <f t="shared" si="62"/>
        <v/>
      </c>
      <c r="CJ38" s="74" t="str">
        <f t="shared" si="62"/>
        <v/>
      </c>
      <c r="CK38" s="74" t="str">
        <f t="shared" si="62"/>
        <v/>
      </c>
      <c r="CL38" s="74" t="str">
        <f t="shared" si="62"/>
        <v/>
      </c>
      <c r="CM38" s="78" t="str">
        <f t="shared" si="62"/>
        <v/>
      </c>
      <c r="CN38" s="78" t="str">
        <f t="shared" si="62"/>
        <v/>
      </c>
      <c r="CO38" s="74" t="str">
        <f t="shared" si="62"/>
        <v/>
      </c>
      <c r="CP38" s="74" t="str">
        <f t="shared" si="62"/>
        <v/>
      </c>
      <c r="CQ38" s="74" t="str">
        <f t="shared" si="63"/>
        <v/>
      </c>
      <c r="CR38" s="74" t="str">
        <f t="shared" si="63"/>
        <v/>
      </c>
      <c r="CS38" s="74" t="str">
        <f t="shared" si="63"/>
        <v/>
      </c>
      <c r="CT38" s="78" t="str">
        <f t="shared" si="63"/>
        <v/>
      </c>
      <c r="CU38" s="78" t="str">
        <f t="shared" si="63"/>
        <v/>
      </c>
      <c r="CV38" s="74" t="str">
        <f t="shared" si="63"/>
        <v/>
      </c>
      <c r="CW38" s="74" t="str">
        <f t="shared" si="63"/>
        <v/>
      </c>
      <c r="CX38" s="74" t="str">
        <f t="shared" si="63"/>
        <v/>
      </c>
      <c r="CY38" s="74" t="str">
        <f t="shared" si="63"/>
        <v/>
      </c>
      <c r="CZ38" s="74" t="str">
        <f t="shared" si="63"/>
        <v/>
      </c>
      <c r="DA38" s="78" t="str">
        <f t="shared" si="64"/>
        <v/>
      </c>
      <c r="DB38" s="78" t="str">
        <f t="shared" si="64"/>
        <v/>
      </c>
      <c r="DC38" s="74" t="str">
        <f t="shared" si="64"/>
        <v/>
      </c>
      <c r="DD38" s="74" t="str">
        <f t="shared" si="64"/>
        <v/>
      </c>
      <c r="DE38" s="74" t="str">
        <f t="shared" si="64"/>
        <v/>
      </c>
      <c r="DF38" s="74" t="str">
        <f t="shared" si="64"/>
        <v/>
      </c>
      <c r="DG38" s="74" t="str">
        <f t="shared" si="64"/>
        <v/>
      </c>
      <c r="DH38" s="78" t="str">
        <f t="shared" si="64"/>
        <v/>
      </c>
      <c r="DI38" s="78" t="str">
        <f t="shared" si="64"/>
        <v/>
      </c>
      <c r="DJ38" s="74" t="str">
        <f t="shared" si="64"/>
        <v/>
      </c>
      <c r="DK38" s="74" t="str">
        <f t="shared" si="65"/>
        <v/>
      </c>
      <c r="DL38" s="74" t="str">
        <f t="shared" si="65"/>
        <v/>
      </c>
      <c r="DM38" s="74" t="str">
        <f t="shared" si="65"/>
        <v/>
      </c>
      <c r="DN38" s="74" t="str">
        <f t="shared" si="65"/>
        <v/>
      </c>
      <c r="DO38" s="78" t="str">
        <f t="shared" si="65"/>
        <v/>
      </c>
      <c r="DP38" s="78" t="str">
        <f t="shared" si="65"/>
        <v/>
      </c>
      <c r="DQ38" s="74" t="str">
        <f t="shared" si="65"/>
        <v/>
      </c>
      <c r="DR38" s="74" t="str">
        <f t="shared" si="65"/>
        <v/>
      </c>
      <c r="DS38" s="74" t="str">
        <f t="shared" si="65"/>
        <v/>
      </c>
      <c r="DT38" s="74" t="str">
        <f t="shared" si="65"/>
        <v/>
      </c>
      <c r="DU38" s="74" t="str">
        <f t="shared" si="66"/>
        <v/>
      </c>
      <c r="DV38" s="78" t="str">
        <f t="shared" si="66"/>
        <v/>
      </c>
      <c r="DW38" s="78" t="str">
        <f t="shared" si="66"/>
        <v/>
      </c>
      <c r="DX38" s="74" t="str">
        <f t="shared" si="66"/>
        <v/>
      </c>
      <c r="DY38" s="74" t="str">
        <f t="shared" si="66"/>
        <v/>
      </c>
      <c r="DZ38" s="74" t="str">
        <f t="shared" si="66"/>
        <v/>
      </c>
      <c r="EA38" s="74" t="str">
        <f t="shared" si="66"/>
        <v/>
      </c>
      <c r="EB38" s="74" t="str">
        <f t="shared" si="66"/>
        <v/>
      </c>
      <c r="EC38" s="78" t="str">
        <f t="shared" si="66"/>
        <v/>
      </c>
      <c r="ED38" s="78" t="str">
        <f t="shared" si="66"/>
        <v/>
      </c>
      <c r="EE38" s="74" t="str">
        <f t="shared" si="67"/>
        <v/>
      </c>
      <c r="EF38" s="74" t="str">
        <f t="shared" si="67"/>
        <v/>
      </c>
      <c r="EG38" s="74" t="str">
        <f t="shared" si="67"/>
        <v/>
      </c>
      <c r="EH38" s="74" t="str">
        <f t="shared" si="67"/>
        <v/>
      </c>
      <c r="EI38" s="74" t="str">
        <f t="shared" si="67"/>
        <v/>
      </c>
      <c r="EJ38" s="78" t="str">
        <f t="shared" si="67"/>
        <v/>
      </c>
      <c r="EK38" s="78" t="str">
        <f t="shared" si="67"/>
        <v/>
      </c>
      <c r="EL38" s="74" t="str">
        <f t="shared" si="67"/>
        <v/>
      </c>
      <c r="EM38" s="74" t="str">
        <f t="shared" si="67"/>
        <v/>
      </c>
      <c r="EN38" s="74" t="str">
        <f t="shared" si="67"/>
        <v/>
      </c>
      <c r="EO38" s="74" t="str">
        <f t="shared" si="68"/>
        <v/>
      </c>
      <c r="EP38" s="74" t="str">
        <f t="shared" si="68"/>
        <v/>
      </c>
      <c r="EQ38" s="78" t="str">
        <f t="shared" si="68"/>
        <v/>
      </c>
      <c r="ER38" s="78" t="str">
        <f t="shared" si="68"/>
        <v/>
      </c>
      <c r="ES38" s="74" t="str">
        <f t="shared" si="68"/>
        <v/>
      </c>
      <c r="ET38" s="74" t="str">
        <f t="shared" si="68"/>
        <v/>
      </c>
      <c r="EU38" s="74" t="str">
        <f t="shared" si="68"/>
        <v/>
      </c>
      <c r="EV38" s="74" t="str">
        <f t="shared" si="68"/>
        <v/>
      </c>
      <c r="EW38" s="74" t="str">
        <f t="shared" si="68"/>
        <v/>
      </c>
      <c r="EX38" s="78" t="str">
        <f t="shared" si="68"/>
        <v/>
      </c>
      <c r="EY38" s="78" t="str">
        <f t="shared" si="69"/>
        <v/>
      </c>
      <c r="EZ38" s="74" t="str">
        <f t="shared" si="69"/>
        <v/>
      </c>
      <c r="FA38" s="74" t="str">
        <f t="shared" si="69"/>
        <v/>
      </c>
      <c r="FB38" s="74" t="str">
        <f t="shared" si="69"/>
        <v/>
      </c>
      <c r="FC38" s="74" t="str">
        <f t="shared" si="69"/>
        <v/>
      </c>
      <c r="FD38" s="74" t="str">
        <f t="shared" si="69"/>
        <v/>
      </c>
      <c r="FE38" s="78" t="str">
        <f t="shared" si="69"/>
        <v/>
      </c>
      <c r="FF38" s="78" t="str">
        <f t="shared" si="69"/>
        <v/>
      </c>
      <c r="FG38" s="74" t="str">
        <f t="shared" si="69"/>
        <v/>
      </c>
      <c r="FH38" s="74" t="str">
        <f t="shared" si="69"/>
        <v/>
      </c>
      <c r="FI38" s="74" t="str">
        <f t="shared" si="70"/>
        <v/>
      </c>
      <c r="FJ38" s="74" t="str">
        <f t="shared" si="70"/>
        <v/>
      </c>
      <c r="FK38" s="74" t="str">
        <f t="shared" si="70"/>
        <v/>
      </c>
      <c r="FL38" s="78" t="str">
        <f t="shared" si="70"/>
        <v/>
      </c>
      <c r="FM38" s="78" t="str">
        <f t="shared" si="70"/>
        <v/>
      </c>
      <c r="FN38" s="74" t="str">
        <f t="shared" si="70"/>
        <v/>
      </c>
      <c r="FO38" s="74" t="str">
        <f t="shared" si="70"/>
        <v/>
      </c>
      <c r="FP38" s="74" t="str">
        <f t="shared" si="70"/>
        <v/>
      </c>
      <c r="FQ38" s="74" t="str">
        <f t="shared" si="70"/>
        <v/>
      </c>
      <c r="FR38" s="74" t="str">
        <f t="shared" si="70"/>
        <v/>
      </c>
      <c r="FS38" s="78" t="str">
        <f t="shared" si="71"/>
        <v/>
      </c>
      <c r="FT38" s="78" t="str">
        <f t="shared" si="71"/>
        <v/>
      </c>
      <c r="FU38" s="74" t="str">
        <f t="shared" si="71"/>
        <v/>
      </c>
      <c r="FV38" s="74" t="str">
        <f t="shared" si="71"/>
        <v/>
      </c>
      <c r="FW38" s="74" t="str">
        <f t="shared" si="71"/>
        <v/>
      </c>
      <c r="FX38" s="74" t="str">
        <f t="shared" si="71"/>
        <v/>
      </c>
      <c r="FY38" s="74" t="str">
        <f t="shared" si="71"/>
        <v/>
      </c>
      <c r="FZ38" s="78" t="str">
        <f t="shared" si="71"/>
        <v/>
      </c>
      <c r="GA38" s="78" t="str">
        <f t="shared" si="71"/>
        <v/>
      </c>
      <c r="GB38" s="74" t="str">
        <f t="shared" si="71"/>
        <v/>
      </c>
      <c r="GC38" s="74" t="str">
        <f t="shared" si="72"/>
        <v/>
      </c>
      <c r="GD38" s="74" t="str">
        <f t="shared" si="72"/>
        <v/>
      </c>
      <c r="GE38" s="74" t="str">
        <f t="shared" si="72"/>
        <v/>
      </c>
      <c r="GF38" s="74" t="str">
        <f t="shared" si="72"/>
        <v/>
      </c>
      <c r="GG38" s="78" t="str">
        <f t="shared" si="72"/>
        <v/>
      </c>
      <c r="GH38" s="78" t="str">
        <f t="shared" si="72"/>
        <v/>
      </c>
      <c r="GI38" s="74" t="str">
        <f t="shared" si="72"/>
        <v/>
      </c>
      <c r="GJ38" s="74" t="str">
        <f t="shared" si="72"/>
        <v/>
      </c>
      <c r="GK38" s="74" t="str">
        <f t="shared" si="72"/>
        <v/>
      </c>
      <c r="GL38" s="74" t="str">
        <f t="shared" si="72"/>
        <v/>
      </c>
      <c r="GM38" s="74" t="str">
        <f t="shared" si="73"/>
        <v/>
      </c>
      <c r="GN38" s="78" t="str">
        <f t="shared" si="73"/>
        <v/>
      </c>
      <c r="GO38" s="78" t="str">
        <f t="shared" si="73"/>
        <v/>
      </c>
      <c r="GP38" s="74" t="str">
        <f t="shared" si="73"/>
        <v/>
      </c>
      <c r="GQ38" s="74" t="str">
        <f t="shared" si="73"/>
        <v/>
      </c>
      <c r="GR38" s="74" t="str">
        <f t="shared" si="73"/>
        <v/>
      </c>
      <c r="GS38" s="74" t="str">
        <f t="shared" si="73"/>
        <v/>
      </c>
      <c r="GT38" s="74" t="str">
        <f t="shared" si="73"/>
        <v/>
      </c>
      <c r="GU38" s="78" t="str">
        <f t="shared" si="73"/>
        <v/>
      </c>
      <c r="GV38" s="78" t="str">
        <f t="shared" si="73"/>
        <v/>
      </c>
      <c r="GW38" s="74" t="str">
        <f t="shared" si="74"/>
        <v/>
      </c>
      <c r="GX38" s="74" t="str">
        <f t="shared" si="74"/>
        <v/>
      </c>
      <c r="GY38" s="74" t="str">
        <f t="shared" si="74"/>
        <v/>
      </c>
      <c r="GZ38" s="74" t="str">
        <f t="shared" si="74"/>
        <v/>
      </c>
      <c r="HA38" s="74" t="str">
        <f t="shared" si="74"/>
        <v/>
      </c>
      <c r="HB38" s="78" t="str">
        <f t="shared" si="74"/>
        <v/>
      </c>
      <c r="HC38" s="78" t="str">
        <f t="shared" si="74"/>
        <v/>
      </c>
      <c r="HD38" s="74" t="str">
        <f t="shared" si="74"/>
        <v/>
      </c>
      <c r="HE38" s="74" t="str">
        <f t="shared" si="74"/>
        <v/>
      </c>
      <c r="HF38" s="74" t="str">
        <f t="shared" si="74"/>
        <v/>
      </c>
      <c r="HG38" s="74" t="str">
        <f t="shared" si="74"/>
        <v/>
      </c>
      <c r="HH38" s="74" t="str">
        <f t="shared" si="74"/>
        <v/>
      </c>
    </row>
    <row r="39" spans="1:216" x14ac:dyDescent="0.2">
      <c r="A39" s="82" t="str">
        <f>'FY1 Event Pipeline'!A8</f>
        <v>Tanweer Festival</v>
      </c>
      <c r="B39" s="83">
        <f>_xlfn.XLOOKUP(A39,'FY1 Event Pipeline'!$A$4:$A$15,'FY1 Event Pipeline'!$H$4:$H$15)</f>
        <v>46340</v>
      </c>
      <c r="C39" s="83">
        <f>_xlfn.XLOOKUP(A39,'FY1 Event Pipeline'!$A$4:$A$15,'FY1 Event Pipeline'!$J$4:$J$15)</f>
        <v>46352</v>
      </c>
      <c r="D39" s="84">
        <f>_xlfn.XLOOKUP(A39,'FY1 Event Pipeline'!$A$4:$A$15,'FY1 Event Pipeline'!$P$4:$P$15)</f>
        <v>900</v>
      </c>
      <c r="E39" s="74" t="str">
        <f t="shared" si="54"/>
        <v/>
      </c>
      <c r="F39" s="74" t="str">
        <f t="shared" si="54"/>
        <v/>
      </c>
      <c r="G39" s="78" t="str">
        <f t="shared" si="54"/>
        <v/>
      </c>
      <c r="H39" s="78" t="str">
        <f t="shared" si="54"/>
        <v/>
      </c>
      <c r="I39" s="74" t="str">
        <f t="shared" si="54"/>
        <v/>
      </c>
      <c r="J39" s="74" t="str">
        <f t="shared" si="54"/>
        <v/>
      </c>
      <c r="K39" s="74" t="str">
        <f t="shared" si="54"/>
        <v/>
      </c>
      <c r="L39" s="74" t="str">
        <f t="shared" si="54"/>
        <v/>
      </c>
      <c r="M39" s="74" t="str">
        <f t="shared" si="54"/>
        <v/>
      </c>
      <c r="N39" s="78" t="str">
        <f t="shared" si="54"/>
        <v/>
      </c>
      <c r="O39" s="78" t="str">
        <f t="shared" si="55"/>
        <v/>
      </c>
      <c r="P39" s="74" t="str">
        <f t="shared" si="55"/>
        <v/>
      </c>
      <c r="Q39" s="74" t="str">
        <f t="shared" si="55"/>
        <v/>
      </c>
      <c r="R39" s="74" t="str">
        <f t="shared" si="55"/>
        <v/>
      </c>
      <c r="S39" s="74" t="str">
        <f t="shared" si="55"/>
        <v/>
      </c>
      <c r="T39" s="74" t="str">
        <f t="shared" si="55"/>
        <v/>
      </c>
      <c r="U39" s="78" t="str">
        <f t="shared" si="55"/>
        <v/>
      </c>
      <c r="V39" s="78" t="str">
        <f t="shared" si="55"/>
        <v/>
      </c>
      <c r="W39" s="74" t="str">
        <f t="shared" si="55"/>
        <v/>
      </c>
      <c r="X39" s="74" t="str">
        <f t="shared" si="55"/>
        <v/>
      </c>
      <c r="Y39" s="74" t="str">
        <f t="shared" si="56"/>
        <v/>
      </c>
      <c r="Z39" s="74" t="str">
        <f t="shared" si="56"/>
        <v/>
      </c>
      <c r="AA39" s="74" t="str">
        <f t="shared" si="56"/>
        <v/>
      </c>
      <c r="AB39" s="78" t="str">
        <f t="shared" si="56"/>
        <v/>
      </c>
      <c r="AC39" s="78" t="str">
        <f t="shared" si="56"/>
        <v/>
      </c>
      <c r="AD39" s="74" t="str">
        <f t="shared" si="56"/>
        <v/>
      </c>
      <c r="AE39" s="74" t="str">
        <f t="shared" si="56"/>
        <v/>
      </c>
      <c r="AF39" s="74" t="str">
        <f t="shared" si="56"/>
        <v/>
      </c>
      <c r="AG39" s="74" t="str">
        <f t="shared" si="56"/>
        <v/>
      </c>
      <c r="AH39" s="74" t="str">
        <f t="shared" si="56"/>
        <v/>
      </c>
      <c r="AI39" s="78" t="str">
        <f t="shared" si="57"/>
        <v/>
      </c>
      <c r="AJ39" s="78" t="str">
        <f t="shared" si="57"/>
        <v/>
      </c>
      <c r="AK39" s="74" t="str">
        <f t="shared" si="57"/>
        <v/>
      </c>
      <c r="AL39" s="74" t="str">
        <f t="shared" si="57"/>
        <v/>
      </c>
      <c r="AM39" s="74" t="str">
        <f t="shared" si="57"/>
        <v/>
      </c>
      <c r="AN39" s="74" t="str">
        <f t="shared" si="57"/>
        <v/>
      </c>
      <c r="AO39" s="74" t="str">
        <f t="shared" si="57"/>
        <v/>
      </c>
      <c r="AP39" s="78" t="str">
        <f t="shared" si="57"/>
        <v/>
      </c>
      <c r="AQ39" s="78" t="str">
        <f t="shared" si="57"/>
        <v/>
      </c>
      <c r="AR39" s="74" t="str">
        <f t="shared" si="57"/>
        <v/>
      </c>
      <c r="AS39" s="74" t="str">
        <f t="shared" si="58"/>
        <v/>
      </c>
      <c r="AT39" s="74" t="str">
        <f t="shared" si="58"/>
        <v/>
      </c>
      <c r="AU39" s="74" t="str">
        <f t="shared" si="58"/>
        <v/>
      </c>
      <c r="AV39" s="74" t="str">
        <f t="shared" si="58"/>
        <v/>
      </c>
      <c r="AW39" s="75">
        <f t="shared" si="58"/>
        <v>900</v>
      </c>
      <c r="AX39" s="75">
        <f t="shared" si="58"/>
        <v>900</v>
      </c>
      <c r="AY39" s="75">
        <f t="shared" si="58"/>
        <v>900</v>
      </c>
      <c r="AZ39" s="75">
        <f t="shared" si="58"/>
        <v>900</v>
      </c>
      <c r="BA39" s="75">
        <f t="shared" si="58"/>
        <v>900</v>
      </c>
      <c r="BB39" s="75">
        <f t="shared" si="58"/>
        <v>900</v>
      </c>
      <c r="BC39" s="75">
        <f t="shared" si="59"/>
        <v>900</v>
      </c>
      <c r="BD39" s="76">
        <f t="shared" si="59"/>
        <v>900</v>
      </c>
      <c r="BE39" s="76">
        <f t="shared" si="59"/>
        <v>900</v>
      </c>
      <c r="BF39" s="76">
        <f t="shared" si="59"/>
        <v>900</v>
      </c>
      <c r="BG39" s="77">
        <f t="shared" si="59"/>
        <v>900</v>
      </c>
      <c r="BH39" s="77">
        <f t="shared" si="59"/>
        <v>900</v>
      </c>
      <c r="BI39" s="77">
        <f t="shared" si="59"/>
        <v>900</v>
      </c>
      <c r="BJ39" s="74" t="str">
        <f t="shared" si="59"/>
        <v/>
      </c>
      <c r="BK39" s="78" t="str">
        <f t="shared" si="59"/>
        <v/>
      </c>
      <c r="BL39" s="78" t="str">
        <f t="shared" si="59"/>
        <v/>
      </c>
      <c r="BM39" s="74" t="str">
        <f t="shared" si="60"/>
        <v/>
      </c>
      <c r="BN39" s="74" t="str">
        <f t="shared" si="60"/>
        <v/>
      </c>
      <c r="BO39" s="74" t="str">
        <f t="shared" si="60"/>
        <v/>
      </c>
      <c r="BP39" s="74" t="str">
        <f t="shared" si="60"/>
        <v/>
      </c>
      <c r="BQ39" s="74" t="str">
        <f t="shared" si="60"/>
        <v/>
      </c>
      <c r="BR39" s="78" t="str">
        <f t="shared" si="60"/>
        <v/>
      </c>
      <c r="BS39" s="78" t="str">
        <f t="shared" si="60"/>
        <v/>
      </c>
      <c r="BT39" s="74" t="str">
        <f t="shared" si="60"/>
        <v/>
      </c>
      <c r="BU39" s="74" t="str">
        <f t="shared" si="60"/>
        <v/>
      </c>
      <c r="BV39" s="74" t="str">
        <f t="shared" si="60"/>
        <v/>
      </c>
      <c r="BW39" s="74" t="str">
        <f t="shared" si="61"/>
        <v/>
      </c>
      <c r="BX39" s="74" t="str">
        <f t="shared" si="61"/>
        <v/>
      </c>
      <c r="BY39" s="78" t="str">
        <f t="shared" si="61"/>
        <v/>
      </c>
      <c r="BZ39" s="78" t="str">
        <f t="shared" si="61"/>
        <v/>
      </c>
      <c r="CA39" s="74" t="str">
        <f t="shared" si="61"/>
        <v/>
      </c>
      <c r="CB39" s="74" t="str">
        <f t="shared" si="61"/>
        <v/>
      </c>
      <c r="CC39" s="74" t="str">
        <f t="shared" si="61"/>
        <v/>
      </c>
      <c r="CD39" s="74" t="str">
        <f t="shared" si="61"/>
        <v/>
      </c>
      <c r="CE39" s="74" t="str">
        <f t="shared" si="61"/>
        <v/>
      </c>
      <c r="CF39" s="78" t="str">
        <f t="shared" si="61"/>
        <v/>
      </c>
      <c r="CG39" s="78" t="str">
        <f t="shared" si="62"/>
        <v/>
      </c>
      <c r="CH39" s="74" t="str">
        <f t="shared" si="62"/>
        <v/>
      </c>
      <c r="CI39" s="74" t="str">
        <f t="shared" si="62"/>
        <v/>
      </c>
      <c r="CJ39" s="74" t="str">
        <f t="shared" si="62"/>
        <v/>
      </c>
      <c r="CK39" s="74" t="str">
        <f t="shared" si="62"/>
        <v/>
      </c>
      <c r="CL39" s="74" t="str">
        <f t="shared" si="62"/>
        <v/>
      </c>
      <c r="CM39" s="78" t="str">
        <f t="shared" si="62"/>
        <v/>
      </c>
      <c r="CN39" s="78" t="str">
        <f t="shared" si="62"/>
        <v/>
      </c>
      <c r="CO39" s="74" t="str">
        <f t="shared" si="62"/>
        <v/>
      </c>
      <c r="CP39" s="74" t="str">
        <f t="shared" si="62"/>
        <v/>
      </c>
      <c r="CQ39" s="74" t="str">
        <f t="shared" si="63"/>
        <v/>
      </c>
      <c r="CR39" s="74" t="str">
        <f t="shared" si="63"/>
        <v/>
      </c>
      <c r="CS39" s="74" t="str">
        <f t="shared" si="63"/>
        <v/>
      </c>
      <c r="CT39" s="78" t="str">
        <f t="shared" si="63"/>
        <v/>
      </c>
      <c r="CU39" s="78" t="str">
        <f t="shared" si="63"/>
        <v/>
      </c>
      <c r="CV39" s="74" t="str">
        <f t="shared" si="63"/>
        <v/>
      </c>
      <c r="CW39" s="74" t="str">
        <f t="shared" si="63"/>
        <v/>
      </c>
      <c r="CX39" s="74" t="str">
        <f t="shared" si="63"/>
        <v/>
      </c>
      <c r="CY39" s="74" t="str">
        <f t="shared" si="63"/>
        <v/>
      </c>
      <c r="CZ39" s="74" t="str">
        <f t="shared" si="63"/>
        <v/>
      </c>
      <c r="DA39" s="78" t="str">
        <f t="shared" si="64"/>
        <v/>
      </c>
      <c r="DB39" s="78" t="str">
        <f t="shared" si="64"/>
        <v/>
      </c>
      <c r="DC39" s="74" t="str">
        <f t="shared" si="64"/>
        <v/>
      </c>
      <c r="DD39" s="74" t="str">
        <f t="shared" si="64"/>
        <v/>
      </c>
      <c r="DE39" s="74" t="str">
        <f t="shared" si="64"/>
        <v/>
      </c>
      <c r="DF39" s="74" t="str">
        <f t="shared" si="64"/>
        <v/>
      </c>
      <c r="DG39" s="74" t="str">
        <f t="shared" si="64"/>
        <v/>
      </c>
      <c r="DH39" s="78" t="str">
        <f t="shared" si="64"/>
        <v/>
      </c>
      <c r="DI39" s="78" t="str">
        <f t="shared" si="64"/>
        <v/>
      </c>
      <c r="DJ39" s="74" t="str">
        <f t="shared" si="64"/>
        <v/>
      </c>
      <c r="DK39" s="74" t="str">
        <f t="shared" si="65"/>
        <v/>
      </c>
      <c r="DL39" s="74" t="str">
        <f t="shared" si="65"/>
        <v/>
      </c>
      <c r="DM39" s="74" t="str">
        <f t="shared" si="65"/>
        <v/>
      </c>
      <c r="DN39" s="74" t="str">
        <f t="shared" si="65"/>
        <v/>
      </c>
      <c r="DO39" s="78" t="str">
        <f t="shared" si="65"/>
        <v/>
      </c>
      <c r="DP39" s="78" t="str">
        <f t="shared" si="65"/>
        <v/>
      </c>
      <c r="DQ39" s="74" t="str">
        <f t="shared" si="65"/>
        <v/>
      </c>
      <c r="DR39" s="74" t="str">
        <f t="shared" si="65"/>
        <v/>
      </c>
      <c r="DS39" s="74" t="str">
        <f t="shared" si="65"/>
        <v/>
      </c>
      <c r="DT39" s="74" t="str">
        <f t="shared" si="65"/>
        <v/>
      </c>
      <c r="DU39" s="74" t="str">
        <f t="shared" si="66"/>
        <v/>
      </c>
      <c r="DV39" s="78" t="str">
        <f t="shared" si="66"/>
        <v/>
      </c>
      <c r="DW39" s="78" t="str">
        <f t="shared" si="66"/>
        <v/>
      </c>
      <c r="DX39" s="74" t="str">
        <f t="shared" si="66"/>
        <v/>
      </c>
      <c r="DY39" s="74" t="str">
        <f t="shared" si="66"/>
        <v/>
      </c>
      <c r="DZ39" s="74" t="str">
        <f t="shared" si="66"/>
        <v/>
      </c>
      <c r="EA39" s="74" t="str">
        <f t="shared" si="66"/>
        <v/>
      </c>
      <c r="EB39" s="74" t="str">
        <f t="shared" si="66"/>
        <v/>
      </c>
      <c r="EC39" s="78" t="str">
        <f t="shared" si="66"/>
        <v/>
      </c>
      <c r="ED39" s="78" t="str">
        <f t="shared" si="66"/>
        <v/>
      </c>
      <c r="EE39" s="74" t="str">
        <f t="shared" si="67"/>
        <v/>
      </c>
      <c r="EF39" s="74" t="str">
        <f t="shared" si="67"/>
        <v/>
      </c>
      <c r="EG39" s="74" t="str">
        <f t="shared" si="67"/>
        <v/>
      </c>
      <c r="EH39" s="74" t="str">
        <f t="shared" si="67"/>
        <v/>
      </c>
      <c r="EI39" s="74" t="str">
        <f t="shared" si="67"/>
        <v/>
      </c>
      <c r="EJ39" s="78" t="str">
        <f t="shared" si="67"/>
        <v/>
      </c>
      <c r="EK39" s="78" t="str">
        <f t="shared" si="67"/>
        <v/>
      </c>
      <c r="EL39" s="74" t="str">
        <f t="shared" si="67"/>
        <v/>
      </c>
      <c r="EM39" s="74" t="str">
        <f t="shared" si="67"/>
        <v/>
      </c>
      <c r="EN39" s="74" t="str">
        <f t="shared" si="67"/>
        <v/>
      </c>
      <c r="EO39" s="74" t="str">
        <f t="shared" si="68"/>
        <v/>
      </c>
      <c r="EP39" s="74" t="str">
        <f t="shared" si="68"/>
        <v/>
      </c>
      <c r="EQ39" s="78" t="str">
        <f t="shared" si="68"/>
        <v/>
      </c>
      <c r="ER39" s="78" t="str">
        <f t="shared" si="68"/>
        <v/>
      </c>
      <c r="ES39" s="74" t="str">
        <f t="shared" si="68"/>
        <v/>
      </c>
      <c r="ET39" s="74" t="str">
        <f t="shared" si="68"/>
        <v/>
      </c>
      <c r="EU39" s="74" t="str">
        <f t="shared" si="68"/>
        <v/>
      </c>
      <c r="EV39" s="74" t="str">
        <f t="shared" si="68"/>
        <v/>
      </c>
      <c r="EW39" s="74" t="str">
        <f t="shared" si="68"/>
        <v/>
      </c>
      <c r="EX39" s="78" t="str">
        <f t="shared" si="68"/>
        <v/>
      </c>
      <c r="EY39" s="78" t="str">
        <f t="shared" si="69"/>
        <v/>
      </c>
      <c r="EZ39" s="74" t="str">
        <f t="shared" si="69"/>
        <v/>
      </c>
      <c r="FA39" s="74" t="str">
        <f t="shared" si="69"/>
        <v/>
      </c>
      <c r="FB39" s="74" t="str">
        <f t="shared" si="69"/>
        <v/>
      </c>
      <c r="FC39" s="74" t="str">
        <f t="shared" si="69"/>
        <v/>
      </c>
      <c r="FD39" s="74" t="str">
        <f t="shared" si="69"/>
        <v/>
      </c>
      <c r="FE39" s="78" t="str">
        <f t="shared" si="69"/>
        <v/>
      </c>
      <c r="FF39" s="78" t="str">
        <f t="shared" si="69"/>
        <v/>
      </c>
      <c r="FG39" s="74" t="str">
        <f t="shared" si="69"/>
        <v/>
      </c>
      <c r="FH39" s="74" t="str">
        <f t="shared" si="69"/>
        <v/>
      </c>
      <c r="FI39" s="74" t="str">
        <f t="shared" si="70"/>
        <v/>
      </c>
      <c r="FJ39" s="74" t="str">
        <f t="shared" si="70"/>
        <v/>
      </c>
      <c r="FK39" s="74" t="str">
        <f t="shared" si="70"/>
        <v/>
      </c>
      <c r="FL39" s="78" t="str">
        <f t="shared" si="70"/>
        <v/>
      </c>
      <c r="FM39" s="78" t="str">
        <f t="shared" si="70"/>
        <v/>
      </c>
      <c r="FN39" s="74" t="str">
        <f t="shared" si="70"/>
        <v/>
      </c>
      <c r="FO39" s="74" t="str">
        <f t="shared" si="70"/>
        <v/>
      </c>
      <c r="FP39" s="74" t="str">
        <f t="shared" si="70"/>
        <v/>
      </c>
      <c r="FQ39" s="74" t="str">
        <f t="shared" si="70"/>
        <v/>
      </c>
      <c r="FR39" s="74" t="str">
        <f t="shared" si="70"/>
        <v/>
      </c>
      <c r="FS39" s="78" t="str">
        <f t="shared" si="71"/>
        <v/>
      </c>
      <c r="FT39" s="78" t="str">
        <f t="shared" si="71"/>
        <v/>
      </c>
      <c r="FU39" s="74" t="str">
        <f t="shared" si="71"/>
        <v/>
      </c>
      <c r="FV39" s="74" t="str">
        <f t="shared" si="71"/>
        <v/>
      </c>
      <c r="FW39" s="74" t="str">
        <f t="shared" si="71"/>
        <v/>
      </c>
      <c r="FX39" s="74" t="str">
        <f t="shared" si="71"/>
        <v/>
      </c>
      <c r="FY39" s="74" t="str">
        <f t="shared" si="71"/>
        <v/>
      </c>
      <c r="FZ39" s="78" t="str">
        <f t="shared" si="71"/>
        <v/>
      </c>
      <c r="GA39" s="78" t="str">
        <f t="shared" si="71"/>
        <v/>
      </c>
      <c r="GB39" s="74" t="str">
        <f t="shared" si="71"/>
        <v/>
      </c>
      <c r="GC39" s="74" t="str">
        <f t="shared" si="72"/>
        <v/>
      </c>
      <c r="GD39" s="74" t="str">
        <f t="shared" si="72"/>
        <v/>
      </c>
      <c r="GE39" s="74" t="str">
        <f t="shared" si="72"/>
        <v/>
      </c>
      <c r="GF39" s="74" t="str">
        <f t="shared" si="72"/>
        <v/>
      </c>
      <c r="GG39" s="78" t="str">
        <f t="shared" si="72"/>
        <v/>
      </c>
      <c r="GH39" s="78" t="str">
        <f t="shared" si="72"/>
        <v/>
      </c>
      <c r="GI39" s="74" t="str">
        <f t="shared" si="72"/>
        <v/>
      </c>
      <c r="GJ39" s="74" t="str">
        <f t="shared" si="72"/>
        <v/>
      </c>
      <c r="GK39" s="74" t="str">
        <f t="shared" si="72"/>
        <v/>
      </c>
      <c r="GL39" s="74" t="str">
        <f t="shared" si="72"/>
        <v/>
      </c>
      <c r="GM39" s="74" t="str">
        <f t="shared" si="73"/>
        <v/>
      </c>
      <c r="GN39" s="78" t="str">
        <f t="shared" si="73"/>
        <v/>
      </c>
      <c r="GO39" s="78" t="str">
        <f t="shared" si="73"/>
        <v/>
      </c>
      <c r="GP39" s="74" t="str">
        <f t="shared" si="73"/>
        <v/>
      </c>
      <c r="GQ39" s="74" t="str">
        <f t="shared" si="73"/>
        <v/>
      </c>
      <c r="GR39" s="74" t="str">
        <f t="shared" si="73"/>
        <v/>
      </c>
      <c r="GS39" s="74" t="str">
        <f t="shared" si="73"/>
        <v/>
      </c>
      <c r="GT39" s="74" t="str">
        <f t="shared" si="73"/>
        <v/>
      </c>
      <c r="GU39" s="78" t="str">
        <f t="shared" si="73"/>
        <v/>
      </c>
      <c r="GV39" s="78" t="str">
        <f t="shared" si="73"/>
        <v/>
      </c>
      <c r="GW39" s="74" t="str">
        <f t="shared" si="74"/>
        <v/>
      </c>
      <c r="GX39" s="74" t="str">
        <f t="shared" si="74"/>
        <v/>
      </c>
      <c r="GY39" s="74" t="str">
        <f t="shared" si="74"/>
        <v/>
      </c>
      <c r="GZ39" s="74" t="str">
        <f t="shared" si="74"/>
        <v/>
      </c>
      <c r="HA39" s="74" t="str">
        <f t="shared" si="74"/>
        <v/>
      </c>
      <c r="HB39" s="78" t="str">
        <f t="shared" si="74"/>
        <v/>
      </c>
      <c r="HC39" s="78" t="str">
        <f t="shared" si="74"/>
        <v/>
      </c>
      <c r="HD39" s="74" t="str">
        <f t="shared" si="74"/>
        <v/>
      </c>
      <c r="HE39" s="74" t="str">
        <f t="shared" si="74"/>
        <v/>
      </c>
      <c r="HF39" s="74" t="str">
        <f t="shared" si="74"/>
        <v/>
      </c>
      <c r="HG39" s="74" t="str">
        <f t="shared" si="74"/>
        <v/>
      </c>
      <c r="HH39" s="74" t="str">
        <f t="shared" si="74"/>
        <v/>
      </c>
    </row>
    <row r="40" spans="1:216" x14ac:dyDescent="0.2">
      <c r="A40" s="82" t="str">
        <f>'FY1 Event Pipeline'!A9</f>
        <v>MOTN AAN</v>
      </c>
      <c r="B40" s="83">
        <f>_xlfn.XLOOKUP(A40,'FY1 Event Pipeline'!$A$4:$A$15,'FY1 Event Pipeline'!$H$4:$H$15)</f>
        <v>46336</v>
      </c>
      <c r="C40" s="83">
        <f>_xlfn.XLOOKUP(A40,'FY1 Event Pipeline'!$A$4:$A$15,'FY1 Event Pipeline'!$J$4:$J$15)</f>
        <v>46362</v>
      </c>
      <c r="D40" s="84">
        <f>_xlfn.XLOOKUP(A40,'FY1 Event Pipeline'!$A$4:$A$15,'FY1 Event Pipeline'!$P$4:$P$15)</f>
        <v>350</v>
      </c>
      <c r="E40" s="74" t="str">
        <f t="shared" si="54"/>
        <v/>
      </c>
      <c r="F40" s="74" t="str">
        <f t="shared" si="54"/>
        <v/>
      </c>
      <c r="G40" s="78" t="str">
        <f t="shared" si="54"/>
        <v/>
      </c>
      <c r="H40" s="78" t="str">
        <f t="shared" si="54"/>
        <v/>
      </c>
      <c r="I40" s="74" t="str">
        <f t="shared" si="54"/>
        <v/>
      </c>
      <c r="J40" s="74" t="str">
        <f t="shared" si="54"/>
        <v/>
      </c>
      <c r="K40" s="74" t="str">
        <f t="shared" si="54"/>
        <v/>
      </c>
      <c r="L40" s="74" t="str">
        <f t="shared" si="54"/>
        <v/>
      </c>
      <c r="M40" s="74" t="str">
        <f t="shared" si="54"/>
        <v/>
      </c>
      <c r="N40" s="78" t="str">
        <f t="shared" si="54"/>
        <v/>
      </c>
      <c r="O40" s="78" t="str">
        <f t="shared" si="55"/>
        <v/>
      </c>
      <c r="P40" s="74" t="str">
        <f t="shared" si="55"/>
        <v/>
      </c>
      <c r="Q40" s="74" t="str">
        <f t="shared" si="55"/>
        <v/>
      </c>
      <c r="R40" s="74" t="str">
        <f t="shared" si="55"/>
        <v/>
      </c>
      <c r="S40" s="74" t="str">
        <f t="shared" si="55"/>
        <v/>
      </c>
      <c r="T40" s="74" t="str">
        <f t="shared" si="55"/>
        <v/>
      </c>
      <c r="U40" s="78" t="str">
        <f t="shared" si="55"/>
        <v/>
      </c>
      <c r="V40" s="78" t="str">
        <f t="shared" si="55"/>
        <v/>
      </c>
      <c r="W40" s="74" t="str">
        <f t="shared" si="55"/>
        <v/>
      </c>
      <c r="X40" s="74" t="str">
        <f t="shared" si="55"/>
        <v/>
      </c>
      <c r="Y40" s="74" t="str">
        <f t="shared" si="56"/>
        <v/>
      </c>
      <c r="Z40" s="74" t="str">
        <f t="shared" si="56"/>
        <v/>
      </c>
      <c r="AA40" s="74" t="str">
        <f t="shared" si="56"/>
        <v/>
      </c>
      <c r="AB40" s="78" t="str">
        <f t="shared" si="56"/>
        <v/>
      </c>
      <c r="AC40" s="78" t="str">
        <f t="shared" si="56"/>
        <v/>
      </c>
      <c r="AD40" s="74" t="str">
        <f t="shared" si="56"/>
        <v/>
      </c>
      <c r="AE40" s="74" t="str">
        <f t="shared" si="56"/>
        <v/>
      </c>
      <c r="AF40" s="74" t="str">
        <f t="shared" si="56"/>
        <v/>
      </c>
      <c r="AG40" s="74" t="str">
        <f t="shared" si="56"/>
        <v/>
      </c>
      <c r="AH40" s="74" t="str">
        <f t="shared" si="56"/>
        <v/>
      </c>
      <c r="AI40" s="78" t="str">
        <f t="shared" si="57"/>
        <v/>
      </c>
      <c r="AJ40" s="78" t="str">
        <f t="shared" si="57"/>
        <v/>
      </c>
      <c r="AK40" s="74" t="str">
        <f t="shared" si="57"/>
        <v/>
      </c>
      <c r="AL40" s="74" t="str">
        <f t="shared" si="57"/>
        <v/>
      </c>
      <c r="AM40" s="74" t="str">
        <f t="shared" si="57"/>
        <v/>
      </c>
      <c r="AN40" s="74" t="str">
        <f t="shared" si="57"/>
        <v/>
      </c>
      <c r="AO40" s="74" t="str">
        <f t="shared" si="57"/>
        <v/>
      </c>
      <c r="AP40" s="78" t="str">
        <f t="shared" si="57"/>
        <v/>
      </c>
      <c r="AQ40" s="78" t="str">
        <f t="shared" si="57"/>
        <v/>
      </c>
      <c r="AR40" s="74" t="str">
        <f t="shared" si="57"/>
        <v/>
      </c>
      <c r="AS40" s="75">
        <f t="shared" si="58"/>
        <v>350</v>
      </c>
      <c r="AT40" s="75">
        <f t="shared" si="58"/>
        <v>350</v>
      </c>
      <c r="AU40" s="75">
        <f t="shared" si="58"/>
        <v>350</v>
      </c>
      <c r="AV40" s="75">
        <f t="shared" si="58"/>
        <v>350</v>
      </c>
      <c r="AW40" s="75">
        <f t="shared" si="58"/>
        <v>350</v>
      </c>
      <c r="AX40" s="75">
        <f t="shared" si="58"/>
        <v>350</v>
      </c>
      <c r="AY40" s="75">
        <f t="shared" si="58"/>
        <v>350</v>
      </c>
      <c r="AZ40" s="75">
        <f t="shared" si="58"/>
        <v>350</v>
      </c>
      <c r="BA40" s="75">
        <f t="shared" si="58"/>
        <v>350</v>
      </c>
      <c r="BB40" s="75">
        <f t="shared" si="58"/>
        <v>350</v>
      </c>
      <c r="BC40" s="75">
        <f t="shared" si="59"/>
        <v>350</v>
      </c>
      <c r="BD40" s="75">
        <f t="shared" si="59"/>
        <v>350</v>
      </c>
      <c r="BE40" s="75">
        <f t="shared" si="59"/>
        <v>350</v>
      </c>
      <c r="BF40" s="75">
        <f t="shared" si="59"/>
        <v>350</v>
      </c>
      <c r="BG40" s="76">
        <f t="shared" si="59"/>
        <v>350</v>
      </c>
      <c r="BH40" s="76">
        <f t="shared" si="59"/>
        <v>350</v>
      </c>
      <c r="BI40" s="76">
        <f t="shared" si="59"/>
        <v>350</v>
      </c>
      <c r="BJ40" s="76">
        <f t="shared" si="59"/>
        <v>350</v>
      </c>
      <c r="BK40" s="76">
        <f t="shared" si="59"/>
        <v>350</v>
      </c>
      <c r="BL40" s="76">
        <f t="shared" si="59"/>
        <v>350</v>
      </c>
      <c r="BM40" s="76">
        <f t="shared" si="60"/>
        <v>350</v>
      </c>
      <c r="BN40" s="76">
        <f t="shared" si="60"/>
        <v>350</v>
      </c>
      <c r="BO40" s="76">
        <f t="shared" si="60"/>
        <v>350</v>
      </c>
      <c r="BP40" s="77">
        <f t="shared" si="60"/>
        <v>350</v>
      </c>
      <c r="BQ40" s="77">
        <f t="shared" si="60"/>
        <v>350</v>
      </c>
      <c r="BR40" s="77">
        <f t="shared" si="60"/>
        <v>350</v>
      </c>
      <c r="BS40" s="77">
        <f t="shared" si="60"/>
        <v>350</v>
      </c>
      <c r="BT40" s="74" t="str">
        <f t="shared" si="60"/>
        <v/>
      </c>
      <c r="BU40" s="74" t="str">
        <f t="shared" si="60"/>
        <v/>
      </c>
      <c r="BV40" s="74" t="str">
        <f t="shared" si="60"/>
        <v/>
      </c>
      <c r="BW40" s="74" t="str">
        <f t="shared" si="61"/>
        <v/>
      </c>
      <c r="BX40" s="74" t="str">
        <f t="shared" si="61"/>
        <v/>
      </c>
      <c r="BY40" s="78" t="str">
        <f t="shared" si="61"/>
        <v/>
      </c>
      <c r="BZ40" s="78" t="str">
        <f t="shared" si="61"/>
        <v/>
      </c>
      <c r="CA40" s="74" t="str">
        <f t="shared" si="61"/>
        <v/>
      </c>
      <c r="CB40" s="74" t="str">
        <f t="shared" si="61"/>
        <v/>
      </c>
      <c r="CC40" s="74" t="str">
        <f t="shared" si="61"/>
        <v/>
      </c>
      <c r="CD40" s="74" t="str">
        <f t="shared" si="61"/>
        <v/>
      </c>
      <c r="CE40" s="74" t="str">
        <f t="shared" si="61"/>
        <v/>
      </c>
      <c r="CF40" s="78" t="str">
        <f t="shared" si="61"/>
        <v/>
      </c>
      <c r="CG40" s="78" t="str">
        <f t="shared" si="62"/>
        <v/>
      </c>
      <c r="CH40" s="74" t="str">
        <f t="shared" si="62"/>
        <v/>
      </c>
      <c r="CI40" s="74" t="str">
        <f t="shared" si="62"/>
        <v/>
      </c>
      <c r="CJ40" s="74" t="str">
        <f t="shared" si="62"/>
        <v/>
      </c>
      <c r="CK40" s="74" t="str">
        <f t="shared" si="62"/>
        <v/>
      </c>
      <c r="CL40" s="74" t="str">
        <f t="shared" si="62"/>
        <v/>
      </c>
      <c r="CM40" s="78" t="str">
        <f t="shared" si="62"/>
        <v/>
      </c>
      <c r="CN40" s="78" t="str">
        <f t="shared" si="62"/>
        <v/>
      </c>
      <c r="CO40" s="74" t="str">
        <f t="shared" si="62"/>
        <v/>
      </c>
      <c r="CP40" s="74" t="str">
        <f t="shared" si="62"/>
        <v/>
      </c>
      <c r="CQ40" s="74" t="str">
        <f t="shared" si="63"/>
        <v/>
      </c>
      <c r="CR40" s="74" t="str">
        <f t="shared" si="63"/>
        <v/>
      </c>
      <c r="CS40" s="74" t="str">
        <f t="shared" si="63"/>
        <v/>
      </c>
      <c r="CT40" s="78" t="str">
        <f t="shared" si="63"/>
        <v/>
      </c>
      <c r="CU40" s="78" t="str">
        <f t="shared" si="63"/>
        <v/>
      </c>
      <c r="CV40" s="74" t="str">
        <f t="shared" si="63"/>
        <v/>
      </c>
      <c r="CW40" s="74" t="str">
        <f t="shared" si="63"/>
        <v/>
      </c>
      <c r="CX40" s="74" t="str">
        <f t="shared" si="63"/>
        <v/>
      </c>
      <c r="CY40" s="74" t="str">
        <f t="shared" si="63"/>
        <v/>
      </c>
      <c r="CZ40" s="74" t="str">
        <f t="shared" si="63"/>
        <v/>
      </c>
      <c r="DA40" s="78" t="str">
        <f t="shared" si="64"/>
        <v/>
      </c>
      <c r="DB40" s="78" t="str">
        <f t="shared" si="64"/>
        <v/>
      </c>
      <c r="DC40" s="74" t="str">
        <f t="shared" si="64"/>
        <v/>
      </c>
      <c r="DD40" s="74" t="str">
        <f t="shared" si="64"/>
        <v/>
      </c>
      <c r="DE40" s="74" t="str">
        <f t="shared" si="64"/>
        <v/>
      </c>
      <c r="DF40" s="74" t="str">
        <f t="shared" si="64"/>
        <v/>
      </c>
      <c r="DG40" s="74" t="str">
        <f t="shared" si="64"/>
        <v/>
      </c>
      <c r="DH40" s="78" t="str">
        <f t="shared" si="64"/>
        <v/>
      </c>
      <c r="DI40" s="78" t="str">
        <f t="shared" si="64"/>
        <v/>
      </c>
      <c r="DJ40" s="74" t="str">
        <f t="shared" si="64"/>
        <v/>
      </c>
      <c r="DK40" s="74" t="str">
        <f t="shared" si="65"/>
        <v/>
      </c>
      <c r="DL40" s="74" t="str">
        <f t="shared" si="65"/>
        <v/>
      </c>
      <c r="DM40" s="74" t="str">
        <f t="shared" si="65"/>
        <v/>
      </c>
      <c r="DN40" s="74" t="str">
        <f t="shared" si="65"/>
        <v/>
      </c>
      <c r="DO40" s="78" t="str">
        <f t="shared" si="65"/>
        <v/>
      </c>
      <c r="DP40" s="78" t="str">
        <f t="shared" si="65"/>
        <v/>
      </c>
      <c r="DQ40" s="74" t="str">
        <f t="shared" si="65"/>
        <v/>
      </c>
      <c r="DR40" s="74" t="str">
        <f t="shared" si="65"/>
        <v/>
      </c>
      <c r="DS40" s="74" t="str">
        <f t="shared" si="65"/>
        <v/>
      </c>
      <c r="DT40" s="74" t="str">
        <f t="shared" si="65"/>
        <v/>
      </c>
      <c r="DU40" s="74" t="str">
        <f t="shared" si="66"/>
        <v/>
      </c>
      <c r="DV40" s="78" t="str">
        <f t="shared" si="66"/>
        <v/>
      </c>
      <c r="DW40" s="78" t="str">
        <f t="shared" si="66"/>
        <v/>
      </c>
      <c r="DX40" s="74" t="str">
        <f t="shared" si="66"/>
        <v/>
      </c>
      <c r="DY40" s="74" t="str">
        <f t="shared" si="66"/>
        <v/>
      </c>
      <c r="DZ40" s="74" t="str">
        <f t="shared" si="66"/>
        <v/>
      </c>
      <c r="EA40" s="74" t="str">
        <f t="shared" si="66"/>
        <v/>
      </c>
      <c r="EB40" s="74" t="str">
        <f t="shared" si="66"/>
        <v/>
      </c>
      <c r="EC40" s="78" t="str">
        <f t="shared" si="66"/>
        <v/>
      </c>
      <c r="ED40" s="78" t="str">
        <f t="shared" si="66"/>
        <v/>
      </c>
      <c r="EE40" s="74" t="str">
        <f t="shared" si="67"/>
        <v/>
      </c>
      <c r="EF40" s="74" t="str">
        <f t="shared" si="67"/>
        <v/>
      </c>
      <c r="EG40" s="74" t="str">
        <f t="shared" si="67"/>
        <v/>
      </c>
      <c r="EH40" s="74" t="str">
        <f t="shared" si="67"/>
        <v/>
      </c>
      <c r="EI40" s="74" t="str">
        <f t="shared" si="67"/>
        <v/>
      </c>
      <c r="EJ40" s="78" t="str">
        <f t="shared" si="67"/>
        <v/>
      </c>
      <c r="EK40" s="78" t="str">
        <f t="shared" si="67"/>
        <v/>
      </c>
      <c r="EL40" s="74" t="str">
        <f t="shared" si="67"/>
        <v/>
      </c>
      <c r="EM40" s="74" t="str">
        <f t="shared" si="67"/>
        <v/>
      </c>
      <c r="EN40" s="74" t="str">
        <f t="shared" si="67"/>
        <v/>
      </c>
      <c r="EO40" s="74" t="str">
        <f t="shared" si="68"/>
        <v/>
      </c>
      <c r="EP40" s="74" t="str">
        <f t="shared" si="68"/>
        <v/>
      </c>
      <c r="EQ40" s="78" t="str">
        <f t="shared" si="68"/>
        <v/>
      </c>
      <c r="ER40" s="78" t="str">
        <f t="shared" si="68"/>
        <v/>
      </c>
      <c r="ES40" s="74" t="str">
        <f t="shared" si="68"/>
        <v/>
      </c>
      <c r="ET40" s="74" t="str">
        <f t="shared" si="68"/>
        <v/>
      </c>
      <c r="EU40" s="74" t="str">
        <f t="shared" si="68"/>
        <v/>
      </c>
      <c r="EV40" s="74" t="str">
        <f t="shared" si="68"/>
        <v/>
      </c>
      <c r="EW40" s="74" t="str">
        <f t="shared" si="68"/>
        <v/>
      </c>
      <c r="EX40" s="78" t="str">
        <f t="shared" si="68"/>
        <v/>
      </c>
      <c r="EY40" s="78" t="str">
        <f t="shared" si="69"/>
        <v/>
      </c>
      <c r="EZ40" s="74" t="str">
        <f t="shared" si="69"/>
        <v/>
      </c>
      <c r="FA40" s="74" t="str">
        <f t="shared" si="69"/>
        <v/>
      </c>
      <c r="FB40" s="74" t="str">
        <f t="shared" si="69"/>
        <v/>
      </c>
      <c r="FC40" s="74" t="str">
        <f t="shared" si="69"/>
        <v/>
      </c>
      <c r="FD40" s="74" t="str">
        <f t="shared" si="69"/>
        <v/>
      </c>
      <c r="FE40" s="78" t="str">
        <f t="shared" si="69"/>
        <v/>
      </c>
      <c r="FF40" s="78" t="str">
        <f t="shared" si="69"/>
        <v/>
      </c>
      <c r="FG40" s="74" t="str">
        <f t="shared" si="69"/>
        <v/>
      </c>
      <c r="FH40" s="74" t="str">
        <f t="shared" si="69"/>
        <v/>
      </c>
      <c r="FI40" s="74" t="str">
        <f t="shared" si="70"/>
        <v/>
      </c>
      <c r="FJ40" s="74" t="str">
        <f t="shared" si="70"/>
        <v/>
      </c>
      <c r="FK40" s="74" t="str">
        <f t="shared" si="70"/>
        <v/>
      </c>
      <c r="FL40" s="78" t="str">
        <f t="shared" si="70"/>
        <v/>
      </c>
      <c r="FM40" s="78" t="str">
        <f t="shared" si="70"/>
        <v/>
      </c>
      <c r="FN40" s="74" t="str">
        <f t="shared" si="70"/>
        <v/>
      </c>
      <c r="FO40" s="74" t="str">
        <f t="shared" si="70"/>
        <v/>
      </c>
      <c r="FP40" s="74" t="str">
        <f t="shared" si="70"/>
        <v/>
      </c>
      <c r="FQ40" s="74" t="str">
        <f t="shared" si="70"/>
        <v/>
      </c>
      <c r="FR40" s="74" t="str">
        <f t="shared" si="70"/>
        <v/>
      </c>
      <c r="FS40" s="78" t="str">
        <f t="shared" si="71"/>
        <v/>
      </c>
      <c r="FT40" s="78" t="str">
        <f t="shared" si="71"/>
        <v/>
      </c>
      <c r="FU40" s="74" t="str">
        <f t="shared" si="71"/>
        <v/>
      </c>
      <c r="FV40" s="74" t="str">
        <f t="shared" si="71"/>
        <v/>
      </c>
      <c r="FW40" s="74" t="str">
        <f t="shared" si="71"/>
        <v/>
      </c>
      <c r="FX40" s="74" t="str">
        <f t="shared" si="71"/>
        <v/>
      </c>
      <c r="FY40" s="74" t="str">
        <f t="shared" si="71"/>
        <v/>
      </c>
      <c r="FZ40" s="78" t="str">
        <f t="shared" si="71"/>
        <v/>
      </c>
      <c r="GA40" s="78" t="str">
        <f t="shared" si="71"/>
        <v/>
      </c>
      <c r="GB40" s="74" t="str">
        <f t="shared" si="71"/>
        <v/>
      </c>
      <c r="GC40" s="74" t="str">
        <f t="shared" si="72"/>
        <v/>
      </c>
      <c r="GD40" s="74" t="str">
        <f t="shared" si="72"/>
        <v/>
      </c>
      <c r="GE40" s="74" t="str">
        <f t="shared" si="72"/>
        <v/>
      </c>
      <c r="GF40" s="74" t="str">
        <f t="shared" si="72"/>
        <v/>
      </c>
      <c r="GG40" s="78" t="str">
        <f t="shared" si="72"/>
        <v/>
      </c>
      <c r="GH40" s="78" t="str">
        <f t="shared" si="72"/>
        <v/>
      </c>
      <c r="GI40" s="74" t="str">
        <f t="shared" si="72"/>
        <v/>
      </c>
      <c r="GJ40" s="74" t="str">
        <f t="shared" si="72"/>
        <v/>
      </c>
      <c r="GK40" s="74" t="str">
        <f t="shared" si="72"/>
        <v/>
      </c>
      <c r="GL40" s="74" t="str">
        <f t="shared" si="72"/>
        <v/>
      </c>
      <c r="GM40" s="74" t="str">
        <f t="shared" si="73"/>
        <v/>
      </c>
      <c r="GN40" s="78" t="str">
        <f t="shared" si="73"/>
        <v/>
      </c>
      <c r="GO40" s="78" t="str">
        <f t="shared" si="73"/>
        <v/>
      </c>
      <c r="GP40" s="74" t="str">
        <f t="shared" si="73"/>
        <v/>
      </c>
      <c r="GQ40" s="74" t="str">
        <f t="shared" si="73"/>
        <v/>
      </c>
      <c r="GR40" s="74" t="str">
        <f t="shared" si="73"/>
        <v/>
      </c>
      <c r="GS40" s="74" t="str">
        <f t="shared" si="73"/>
        <v/>
      </c>
      <c r="GT40" s="74" t="str">
        <f t="shared" si="73"/>
        <v/>
      </c>
      <c r="GU40" s="78" t="str">
        <f t="shared" si="73"/>
        <v/>
      </c>
      <c r="GV40" s="78" t="str">
        <f t="shared" si="73"/>
        <v/>
      </c>
      <c r="GW40" s="74" t="str">
        <f t="shared" si="74"/>
        <v/>
      </c>
      <c r="GX40" s="74" t="str">
        <f t="shared" si="74"/>
        <v/>
      </c>
      <c r="GY40" s="74" t="str">
        <f t="shared" si="74"/>
        <v/>
      </c>
      <c r="GZ40" s="74" t="str">
        <f t="shared" si="74"/>
        <v/>
      </c>
      <c r="HA40" s="74" t="str">
        <f t="shared" si="74"/>
        <v/>
      </c>
      <c r="HB40" s="78" t="str">
        <f t="shared" si="74"/>
        <v/>
      </c>
      <c r="HC40" s="78" t="str">
        <f t="shared" si="74"/>
        <v/>
      </c>
      <c r="HD40" s="74" t="str">
        <f t="shared" si="74"/>
        <v/>
      </c>
      <c r="HE40" s="74" t="str">
        <f t="shared" si="74"/>
        <v/>
      </c>
      <c r="HF40" s="74" t="str">
        <f t="shared" si="74"/>
        <v/>
      </c>
      <c r="HG40" s="74" t="str">
        <f t="shared" si="74"/>
        <v/>
      </c>
      <c r="HH40" s="74" t="str">
        <f t="shared" si="74"/>
        <v/>
      </c>
    </row>
    <row r="41" spans="1:216" x14ac:dyDescent="0.2">
      <c r="A41" s="82" t="str">
        <f>'FY1 Event Pipeline'!A10</f>
        <v>F1 Afterparty</v>
      </c>
      <c r="B41" s="83">
        <f>_xlfn.XLOOKUP(A41,'FY1 Event Pipeline'!$A$4:$A$15,'FY1 Event Pipeline'!$H$4:$H$15)</f>
        <v>46353</v>
      </c>
      <c r="C41" s="83">
        <f>_xlfn.XLOOKUP(A41,'FY1 Event Pipeline'!$A$4:$A$15,'FY1 Event Pipeline'!$J$4:$J$15)</f>
        <v>46365</v>
      </c>
      <c r="D41" s="84">
        <f>_xlfn.XLOOKUP(A41,'FY1 Event Pipeline'!$A$4:$A$15,'FY1 Event Pipeline'!$P$4:$P$15)</f>
        <v>714</v>
      </c>
      <c r="E41" s="74" t="str">
        <f t="shared" si="54"/>
        <v/>
      </c>
      <c r="F41" s="74" t="str">
        <f t="shared" si="54"/>
        <v/>
      </c>
      <c r="G41" s="78" t="str">
        <f t="shared" si="54"/>
        <v/>
      </c>
      <c r="H41" s="78" t="str">
        <f t="shared" si="54"/>
        <v/>
      </c>
      <c r="I41" s="74" t="str">
        <f t="shared" si="54"/>
        <v/>
      </c>
      <c r="J41" s="74" t="str">
        <f t="shared" si="54"/>
        <v/>
      </c>
      <c r="K41" s="74" t="str">
        <f t="shared" si="54"/>
        <v/>
      </c>
      <c r="L41" s="74" t="str">
        <f t="shared" si="54"/>
        <v/>
      </c>
      <c r="M41" s="74" t="str">
        <f t="shared" si="54"/>
        <v/>
      </c>
      <c r="N41" s="78" t="str">
        <f t="shared" si="54"/>
        <v/>
      </c>
      <c r="O41" s="78" t="str">
        <f t="shared" si="55"/>
        <v/>
      </c>
      <c r="P41" s="74" t="str">
        <f t="shared" si="55"/>
        <v/>
      </c>
      <c r="Q41" s="74" t="str">
        <f t="shared" si="55"/>
        <v/>
      </c>
      <c r="R41" s="74" t="str">
        <f t="shared" si="55"/>
        <v/>
      </c>
      <c r="S41" s="74" t="str">
        <f t="shared" si="55"/>
        <v/>
      </c>
      <c r="T41" s="74" t="str">
        <f t="shared" si="55"/>
        <v/>
      </c>
      <c r="U41" s="78" t="str">
        <f t="shared" si="55"/>
        <v/>
      </c>
      <c r="V41" s="78" t="str">
        <f t="shared" si="55"/>
        <v/>
      </c>
      <c r="W41" s="74" t="str">
        <f t="shared" si="55"/>
        <v/>
      </c>
      <c r="X41" s="74" t="str">
        <f t="shared" si="55"/>
        <v/>
      </c>
      <c r="Y41" s="74" t="str">
        <f t="shared" si="56"/>
        <v/>
      </c>
      <c r="Z41" s="74" t="str">
        <f t="shared" si="56"/>
        <v/>
      </c>
      <c r="AA41" s="74" t="str">
        <f t="shared" si="56"/>
        <v/>
      </c>
      <c r="AB41" s="78" t="str">
        <f t="shared" si="56"/>
        <v/>
      </c>
      <c r="AC41" s="78" t="str">
        <f t="shared" si="56"/>
        <v/>
      </c>
      <c r="AD41" s="74" t="str">
        <f t="shared" si="56"/>
        <v/>
      </c>
      <c r="AE41" s="74" t="str">
        <f t="shared" si="56"/>
        <v/>
      </c>
      <c r="AF41" s="74" t="str">
        <f t="shared" si="56"/>
        <v/>
      </c>
      <c r="AG41" s="74" t="str">
        <f t="shared" si="56"/>
        <v/>
      </c>
      <c r="AH41" s="74" t="str">
        <f t="shared" si="56"/>
        <v/>
      </c>
      <c r="AI41" s="78" t="str">
        <f t="shared" si="57"/>
        <v/>
      </c>
      <c r="AJ41" s="78" t="str">
        <f t="shared" si="57"/>
        <v/>
      </c>
      <c r="AK41" s="74" t="str">
        <f t="shared" si="57"/>
        <v/>
      </c>
      <c r="AL41" s="74" t="str">
        <f t="shared" si="57"/>
        <v/>
      </c>
      <c r="AM41" s="74" t="str">
        <f t="shared" si="57"/>
        <v/>
      </c>
      <c r="AN41" s="74" t="str">
        <f t="shared" si="57"/>
        <v/>
      </c>
      <c r="AO41" s="74" t="str">
        <f t="shared" si="57"/>
        <v/>
      </c>
      <c r="AP41" s="78" t="str">
        <f t="shared" si="57"/>
        <v/>
      </c>
      <c r="AQ41" s="78" t="str">
        <f t="shared" si="57"/>
        <v/>
      </c>
      <c r="AR41" s="74" t="str">
        <f t="shared" si="57"/>
        <v/>
      </c>
      <c r="AS41" s="74" t="str">
        <f t="shared" si="58"/>
        <v/>
      </c>
      <c r="AT41" s="74" t="str">
        <f t="shared" si="58"/>
        <v/>
      </c>
      <c r="AU41" s="74" t="str">
        <f t="shared" si="58"/>
        <v/>
      </c>
      <c r="AV41" s="74" t="str">
        <f t="shared" si="58"/>
        <v/>
      </c>
      <c r="AW41" s="78" t="str">
        <f t="shared" si="58"/>
        <v/>
      </c>
      <c r="AX41" s="78" t="str">
        <f t="shared" si="58"/>
        <v/>
      </c>
      <c r="AY41" s="74" t="str">
        <f t="shared" si="58"/>
        <v/>
      </c>
      <c r="AZ41" s="74" t="str">
        <f t="shared" si="58"/>
        <v/>
      </c>
      <c r="BA41" s="74" t="str">
        <f t="shared" si="58"/>
        <v/>
      </c>
      <c r="BB41" s="74" t="str">
        <f t="shared" si="58"/>
        <v/>
      </c>
      <c r="BC41" s="74" t="str">
        <f t="shared" si="59"/>
        <v/>
      </c>
      <c r="BD41" s="78" t="str">
        <f t="shared" si="59"/>
        <v/>
      </c>
      <c r="BE41" s="78" t="str">
        <f t="shared" si="59"/>
        <v/>
      </c>
      <c r="BF41" s="74" t="str">
        <f t="shared" si="59"/>
        <v/>
      </c>
      <c r="BG41" s="74" t="str">
        <f t="shared" si="59"/>
        <v/>
      </c>
      <c r="BH41" s="74" t="str">
        <f t="shared" si="59"/>
        <v/>
      </c>
      <c r="BI41" s="74" t="str">
        <f t="shared" si="59"/>
        <v/>
      </c>
      <c r="BJ41" s="75">
        <f t="shared" si="59"/>
        <v>714</v>
      </c>
      <c r="BK41" s="75">
        <f t="shared" si="59"/>
        <v>714</v>
      </c>
      <c r="BL41" s="75">
        <f t="shared" si="59"/>
        <v>714</v>
      </c>
      <c r="BM41" s="75">
        <f t="shared" si="60"/>
        <v>714</v>
      </c>
      <c r="BN41" s="75">
        <f t="shared" si="60"/>
        <v>714</v>
      </c>
      <c r="BO41" s="75">
        <f t="shared" si="60"/>
        <v>714</v>
      </c>
      <c r="BP41" s="75">
        <f t="shared" si="60"/>
        <v>714</v>
      </c>
      <c r="BQ41" s="76">
        <f t="shared" si="60"/>
        <v>714</v>
      </c>
      <c r="BR41" s="76">
        <f t="shared" si="60"/>
        <v>714</v>
      </c>
      <c r="BS41" s="76">
        <f t="shared" si="60"/>
        <v>714</v>
      </c>
      <c r="BT41" s="77">
        <f t="shared" si="60"/>
        <v>714</v>
      </c>
      <c r="BU41" s="77">
        <f t="shared" si="60"/>
        <v>714</v>
      </c>
      <c r="BV41" s="77">
        <f t="shared" si="60"/>
        <v>714</v>
      </c>
      <c r="BW41" s="74" t="str">
        <f t="shared" si="61"/>
        <v/>
      </c>
      <c r="BX41" s="74" t="str">
        <f t="shared" si="61"/>
        <v/>
      </c>
      <c r="BY41" s="78" t="str">
        <f t="shared" si="61"/>
        <v/>
      </c>
      <c r="BZ41" s="78" t="str">
        <f t="shared" si="61"/>
        <v/>
      </c>
      <c r="CA41" s="74" t="str">
        <f t="shared" si="61"/>
        <v/>
      </c>
      <c r="CB41" s="74" t="str">
        <f t="shared" si="61"/>
        <v/>
      </c>
      <c r="CC41" s="74" t="str">
        <f t="shared" si="61"/>
        <v/>
      </c>
      <c r="CD41" s="74" t="str">
        <f t="shared" si="61"/>
        <v/>
      </c>
      <c r="CE41" s="74" t="str">
        <f t="shared" si="61"/>
        <v/>
      </c>
      <c r="CF41" s="78" t="str">
        <f t="shared" si="61"/>
        <v/>
      </c>
      <c r="CG41" s="78" t="str">
        <f t="shared" si="62"/>
        <v/>
      </c>
      <c r="CH41" s="74" t="str">
        <f t="shared" si="62"/>
        <v/>
      </c>
      <c r="CI41" s="74" t="str">
        <f t="shared" si="62"/>
        <v/>
      </c>
      <c r="CJ41" s="74" t="str">
        <f t="shared" si="62"/>
        <v/>
      </c>
      <c r="CK41" s="74" t="str">
        <f t="shared" si="62"/>
        <v/>
      </c>
      <c r="CL41" s="74" t="str">
        <f t="shared" si="62"/>
        <v/>
      </c>
      <c r="CM41" s="78" t="str">
        <f t="shared" si="62"/>
        <v/>
      </c>
      <c r="CN41" s="78" t="str">
        <f t="shared" si="62"/>
        <v/>
      </c>
      <c r="CO41" s="74" t="str">
        <f t="shared" si="62"/>
        <v/>
      </c>
      <c r="CP41" s="74" t="str">
        <f t="shared" si="62"/>
        <v/>
      </c>
      <c r="CQ41" s="74" t="str">
        <f t="shared" si="63"/>
        <v/>
      </c>
      <c r="CR41" s="74" t="str">
        <f t="shared" si="63"/>
        <v/>
      </c>
      <c r="CS41" s="74" t="str">
        <f t="shared" si="63"/>
        <v/>
      </c>
      <c r="CT41" s="78" t="str">
        <f t="shared" si="63"/>
        <v/>
      </c>
      <c r="CU41" s="78" t="str">
        <f t="shared" si="63"/>
        <v/>
      </c>
      <c r="CV41" s="74" t="str">
        <f t="shared" si="63"/>
        <v/>
      </c>
      <c r="CW41" s="74" t="str">
        <f t="shared" si="63"/>
        <v/>
      </c>
      <c r="CX41" s="74" t="str">
        <f t="shared" si="63"/>
        <v/>
      </c>
      <c r="CY41" s="74" t="str">
        <f t="shared" si="63"/>
        <v/>
      </c>
      <c r="CZ41" s="74" t="str">
        <f t="shared" si="63"/>
        <v/>
      </c>
      <c r="DA41" s="78" t="str">
        <f t="shared" si="64"/>
        <v/>
      </c>
      <c r="DB41" s="78" t="str">
        <f t="shared" si="64"/>
        <v/>
      </c>
      <c r="DC41" s="74" t="str">
        <f t="shared" si="64"/>
        <v/>
      </c>
      <c r="DD41" s="74" t="str">
        <f t="shared" si="64"/>
        <v/>
      </c>
      <c r="DE41" s="74" t="str">
        <f t="shared" si="64"/>
        <v/>
      </c>
      <c r="DF41" s="74" t="str">
        <f t="shared" si="64"/>
        <v/>
      </c>
      <c r="DG41" s="74" t="str">
        <f t="shared" si="64"/>
        <v/>
      </c>
      <c r="DH41" s="78" t="str">
        <f t="shared" si="64"/>
        <v/>
      </c>
      <c r="DI41" s="78" t="str">
        <f t="shared" si="64"/>
        <v/>
      </c>
      <c r="DJ41" s="74" t="str">
        <f t="shared" si="64"/>
        <v/>
      </c>
      <c r="DK41" s="74" t="str">
        <f t="shared" si="65"/>
        <v/>
      </c>
      <c r="DL41" s="74" t="str">
        <f t="shared" si="65"/>
        <v/>
      </c>
      <c r="DM41" s="74" t="str">
        <f t="shared" si="65"/>
        <v/>
      </c>
      <c r="DN41" s="74" t="str">
        <f t="shared" si="65"/>
        <v/>
      </c>
      <c r="DO41" s="78" t="str">
        <f t="shared" si="65"/>
        <v/>
      </c>
      <c r="DP41" s="78" t="str">
        <f t="shared" si="65"/>
        <v/>
      </c>
      <c r="DQ41" s="74" t="str">
        <f t="shared" si="65"/>
        <v/>
      </c>
      <c r="DR41" s="74" t="str">
        <f t="shared" si="65"/>
        <v/>
      </c>
      <c r="DS41" s="74" t="str">
        <f t="shared" si="65"/>
        <v/>
      </c>
      <c r="DT41" s="74" t="str">
        <f t="shared" si="65"/>
        <v/>
      </c>
      <c r="DU41" s="74" t="str">
        <f t="shared" si="66"/>
        <v/>
      </c>
      <c r="DV41" s="78" t="str">
        <f t="shared" si="66"/>
        <v/>
      </c>
      <c r="DW41" s="78" t="str">
        <f t="shared" si="66"/>
        <v/>
      </c>
      <c r="DX41" s="74" t="str">
        <f t="shared" si="66"/>
        <v/>
      </c>
      <c r="DY41" s="74" t="str">
        <f t="shared" si="66"/>
        <v/>
      </c>
      <c r="DZ41" s="74" t="str">
        <f t="shared" si="66"/>
        <v/>
      </c>
      <c r="EA41" s="74" t="str">
        <f t="shared" si="66"/>
        <v/>
      </c>
      <c r="EB41" s="74" t="str">
        <f t="shared" si="66"/>
        <v/>
      </c>
      <c r="EC41" s="78" t="str">
        <f t="shared" si="66"/>
        <v/>
      </c>
      <c r="ED41" s="78" t="str">
        <f t="shared" si="66"/>
        <v/>
      </c>
      <c r="EE41" s="74" t="str">
        <f t="shared" si="67"/>
        <v/>
      </c>
      <c r="EF41" s="74" t="str">
        <f t="shared" si="67"/>
        <v/>
      </c>
      <c r="EG41" s="74" t="str">
        <f t="shared" si="67"/>
        <v/>
      </c>
      <c r="EH41" s="74" t="str">
        <f t="shared" si="67"/>
        <v/>
      </c>
      <c r="EI41" s="74" t="str">
        <f t="shared" si="67"/>
        <v/>
      </c>
      <c r="EJ41" s="78" t="str">
        <f t="shared" si="67"/>
        <v/>
      </c>
      <c r="EK41" s="78" t="str">
        <f t="shared" si="67"/>
        <v/>
      </c>
      <c r="EL41" s="74" t="str">
        <f t="shared" si="67"/>
        <v/>
      </c>
      <c r="EM41" s="74" t="str">
        <f t="shared" si="67"/>
        <v/>
      </c>
      <c r="EN41" s="74" t="str">
        <f t="shared" si="67"/>
        <v/>
      </c>
      <c r="EO41" s="74" t="str">
        <f t="shared" si="68"/>
        <v/>
      </c>
      <c r="EP41" s="74" t="str">
        <f t="shared" si="68"/>
        <v/>
      </c>
      <c r="EQ41" s="78" t="str">
        <f t="shared" si="68"/>
        <v/>
      </c>
      <c r="ER41" s="78" t="str">
        <f t="shared" si="68"/>
        <v/>
      </c>
      <c r="ES41" s="74" t="str">
        <f t="shared" si="68"/>
        <v/>
      </c>
      <c r="ET41" s="74" t="str">
        <f t="shared" si="68"/>
        <v/>
      </c>
      <c r="EU41" s="74" t="str">
        <f t="shared" si="68"/>
        <v/>
      </c>
      <c r="EV41" s="74" t="str">
        <f t="shared" si="68"/>
        <v/>
      </c>
      <c r="EW41" s="74" t="str">
        <f t="shared" si="68"/>
        <v/>
      </c>
      <c r="EX41" s="78" t="str">
        <f t="shared" si="68"/>
        <v/>
      </c>
      <c r="EY41" s="78" t="str">
        <f t="shared" si="69"/>
        <v/>
      </c>
      <c r="EZ41" s="74" t="str">
        <f t="shared" si="69"/>
        <v/>
      </c>
      <c r="FA41" s="74" t="str">
        <f t="shared" si="69"/>
        <v/>
      </c>
      <c r="FB41" s="74" t="str">
        <f t="shared" si="69"/>
        <v/>
      </c>
      <c r="FC41" s="74" t="str">
        <f t="shared" si="69"/>
        <v/>
      </c>
      <c r="FD41" s="74" t="str">
        <f t="shared" si="69"/>
        <v/>
      </c>
      <c r="FE41" s="78" t="str">
        <f t="shared" si="69"/>
        <v/>
      </c>
      <c r="FF41" s="78" t="str">
        <f t="shared" si="69"/>
        <v/>
      </c>
      <c r="FG41" s="74" t="str">
        <f t="shared" si="69"/>
        <v/>
      </c>
      <c r="FH41" s="74" t="str">
        <f t="shared" si="69"/>
        <v/>
      </c>
      <c r="FI41" s="74" t="str">
        <f t="shared" si="70"/>
        <v/>
      </c>
      <c r="FJ41" s="74" t="str">
        <f t="shared" si="70"/>
        <v/>
      </c>
      <c r="FK41" s="74" t="str">
        <f t="shared" si="70"/>
        <v/>
      </c>
      <c r="FL41" s="78" t="str">
        <f t="shared" si="70"/>
        <v/>
      </c>
      <c r="FM41" s="78" t="str">
        <f t="shared" si="70"/>
        <v/>
      </c>
      <c r="FN41" s="74" t="str">
        <f t="shared" si="70"/>
        <v/>
      </c>
      <c r="FO41" s="74" t="str">
        <f t="shared" si="70"/>
        <v/>
      </c>
      <c r="FP41" s="74" t="str">
        <f t="shared" si="70"/>
        <v/>
      </c>
      <c r="FQ41" s="74" t="str">
        <f t="shared" si="70"/>
        <v/>
      </c>
      <c r="FR41" s="74" t="str">
        <f t="shared" si="70"/>
        <v/>
      </c>
      <c r="FS41" s="78" t="str">
        <f t="shared" si="71"/>
        <v/>
      </c>
      <c r="FT41" s="78" t="str">
        <f t="shared" si="71"/>
        <v/>
      </c>
      <c r="FU41" s="74" t="str">
        <f t="shared" si="71"/>
        <v/>
      </c>
      <c r="FV41" s="74" t="str">
        <f t="shared" si="71"/>
        <v/>
      </c>
      <c r="FW41" s="74" t="str">
        <f t="shared" si="71"/>
        <v/>
      </c>
      <c r="FX41" s="74" t="str">
        <f t="shared" si="71"/>
        <v/>
      </c>
      <c r="FY41" s="74" t="str">
        <f t="shared" si="71"/>
        <v/>
      </c>
      <c r="FZ41" s="78" t="str">
        <f t="shared" si="71"/>
        <v/>
      </c>
      <c r="GA41" s="78" t="str">
        <f t="shared" si="71"/>
        <v/>
      </c>
      <c r="GB41" s="74" t="str">
        <f t="shared" si="71"/>
        <v/>
      </c>
      <c r="GC41" s="74" t="str">
        <f t="shared" si="72"/>
        <v/>
      </c>
      <c r="GD41" s="74" t="str">
        <f t="shared" si="72"/>
        <v/>
      </c>
      <c r="GE41" s="74" t="str">
        <f t="shared" si="72"/>
        <v/>
      </c>
      <c r="GF41" s="74" t="str">
        <f t="shared" si="72"/>
        <v/>
      </c>
      <c r="GG41" s="78" t="str">
        <f t="shared" si="72"/>
        <v/>
      </c>
      <c r="GH41" s="78" t="str">
        <f t="shared" si="72"/>
        <v/>
      </c>
      <c r="GI41" s="74" t="str">
        <f t="shared" si="72"/>
        <v/>
      </c>
      <c r="GJ41" s="74" t="str">
        <f t="shared" si="72"/>
        <v/>
      </c>
      <c r="GK41" s="74" t="str">
        <f t="shared" si="72"/>
        <v/>
      </c>
      <c r="GL41" s="74" t="str">
        <f t="shared" si="72"/>
        <v/>
      </c>
      <c r="GM41" s="74" t="str">
        <f t="shared" si="73"/>
        <v/>
      </c>
      <c r="GN41" s="78" t="str">
        <f t="shared" si="73"/>
        <v/>
      </c>
      <c r="GO41" s="78" t="str">
        <f t="shared" si="73"/>
        <v/>
      </c>
      <c r="GP41" s="74" t="str">
        <f t="shared" si="73"/>
        <v/>
      </c>
      <c r="GQ41" s="74" t="str">
        <f t="shared" si="73"/>
        <v/>
      </c>
      <c r="GR41" s="74" t="str">
        <f t="shared" si="73"/>
        <v/>
      </c>
      <c r="GS41" s="74" t="str">
        <f t="shared" si="73"/>
        <v/>
      </c>
      <c r="GT41" s="74" t="str">
        <f t="shared" si="73"/>
        <v/>
      </c>
      <c r="GU41" s="78" t="str">
        <f t="shared" si="73"/>
        <v/>
      </c>
      <c r="GV41" s="78" t="str">
        <f t="shared" si="73"/>
        <v/>
      </c>
      <c r="GW41" s="74" t="str">
        <f t="shared" si="74"/>
        <v/>
      </c>
      <c r="GX41" s="74" t="str">
        <f t="shared" si="74"/>
        <v/>
      </c>
      <c r="GY41" s="74" t="str">
        <f t="shared" si="74"/>
        <v/>
      </c>
      <c r="GZ41" s="74" t="str">
        <f t="shared" si="74"/>
        <v/>
      </c>
      <c r="HA41" s="74" t="str">
        <f t="shared" si="74"/>
        <v/>
      </c>
      <c r="HB41" s="78" t="str">
        <f t="shared" si="74"/>
        <v/>
      </c>
      <c r="HC41" s="78" t="str">
        <f t="shared" si="74"/>
        <v/>
      </c>
      <c r="HD41" s="74" t="str">
        <f t="shared" si="74"/>
        <v/>
      </c>
      <c r="HE41" s="74" t="str">
        <f t="shared" si="74"/>
        <v/>
      </c>
      <c r="HF41" s="74" t="str">
        <f t="shared" si="74"/>
        <v/>
      </c>
      <c r="HG41" s="74" t="str">
        <f t="shared" si="74"/>
        <v/>
      </c>
      <c r="HH41" s="74" t="str">
        <f t="shared" si="74"/>
        <v/>
      </c>
    </row>
    <row r="42" spans="1:216" x14ac:dyDescent="0.2">
      <c r="A42" s="82" t="str">
        <f>'FY1 Event Pipeline'!A11</f>
        <v>MOTN AUH</v>
      </c>
      <c r="B42" s="83">
        <f>_xlfn.XLOOKUP(A42,'FY1 Event Pipeline'!$A$4:$A$15,'FY1 Event Pipeline'!$H$4:$H$15)</f>
        <v>46346</v>
      </c>
      <c r="C42" s="83">
        <f>_xlfn.XLOOKUP(A42,'FY1 Event Pipeline'!$A$4:$A$15,'FY1 Event Pipeline'!$J$4:$J$15)</f>
        <v>46398</v>
      </c>
      <c r="D42" s="84">
        <f>_xlfn.XLOOKUP(A42,'FY1 Event Pipeline'!$A$4:$A$15,'FY1 Event Pipeline'!$P$4:$P$15)</f>
        <v>700</v>
      </c>
      <c r="E42" s="74" t="str">
        <f t="shared" si="54"/>
        <v/>
      </c>
      <c r="F42" s="74" t="str">
        <f t="shared" si="54"/>
        <v/>
      </c>
      <c r="G42" s="78" t="str">
        <f t="shared" si="54"/>
        <v/>
      </c>
      <c r="H42" s="78" t="str">
        <f t="shared" si="54"/>
        <v/>
      </c>
      <c r="I42" s="74" t="str">
        <f t="shared" si="54"/>
        <v/>
      </c>
      <c r="J42" s="74" t="str">
        <f t="shared" si="54"/>
        <v/>
      </c>
      <c r="K42" s="74" t="str">
        <f t="shared" si="54"/>
        <v/>
      </c>
      <c r="L42" s="74" t="str">
        <f t="shared" si="54"/>
        <v/>
      </c>
      <c r="M42" s="74" t="str">
        <f t="shared" si="54"/>
        <v/>
      </c>
      <c r="N42" s="78" t="str">
        <f t="shared" si="54"/>
        <v/>
      </c>
      <c r="O42" s="78" t="str">
        <f t="shared" si="55"/>
        <v/>
      </c>
      <c r="P42" s="74" t="str">
        <f t="shared" si="55"/>
        <v/>
      </c>
      <c r="Q42" s="74" t="str">
        <f t="shared" si="55"/>
        <v/>
      </c>
      <c r="R42" s="74" t="str">
        <f t="shared" si="55"/>
        <v/>
      </c>
      <c r="S42" s="74" t="str">
        <f t="shared" si="55"/>
        <v/>
      </c>
      <c r="T42" s="74" t="str">
        <f t="shared" si="55"/>
        <v/>
      </c>
      <c r="U42" s="78" t="str">
        <f t="shared" si="55"/>
        <v/>
      </c>
      <c r="V42" s="78" t="str">
        <f t="shared" si="55"/>
        <v/>
      </c>
      <c r="W42" s="74" t="str">
        <f t="shared" si="55"/>
        <v/>
      </c>
      <c r="X42" s="74" t="str">
        <f t="shared" si="55"/>
        <v/>
      </c>
      <c r="Y42" s="74" t="str">
        <f t="shared" si="56"/>
        <v/>
      </c>
      <c r="Z42" s="74" t="str">
        <f t="shared" si="56"/>
        <v/>
      </c>
      <c r="AA42" s="74" t="str">
        <f t="shared" si="56"/>
        <v/>
      </c>
      <c r="AB42" s="78" t="str">
        <f t="shared" si="56"/>
        <v/>
      </c>
      <c r="AC42" s="78" t="str">
        <f t="shared" si="56"/>
        <v/>
      </c>
      <c r="AD42" s="74" t="str">
        <f t="shared" si="56"/>
        <v/>
      </c>
      <c r="AE42" s="74" t="str">
        <f t="shared" si="56"/>
        <v/>
      </c>
      <c r="AF42" s="74" t="str">
        <f t="shared" si="56"/>
        <v/>
      </c>
      <c r="AG42" s="74" t="str">
        <f t="shared" si="56"/>
        <v/>
      </c>
      <c r="AH42" s="74" t="str">
        <f t="shared" si="56"/>
        <v/>
      </c>
      <c r="AI42" s="78" t="str">
        <f t="shared" si="57"/>
        <v/>
      </c>
      <c r="AJ42" s="78" t="str">
        <f t="shared" si="57"/>
        <v/>
      </c>
      <c r="AK42" s="74" t="str">
        <f t="shared" si="57"/>
        <v/>
      </c>
      <c r="AL42" s="74" t="str">
        <f t="shared" si="57"/>
        <v/>
      </c>
      <c r="AM42" s="74" t="str">
        <f t="shared" si="57"/>
        <v/>
      </c>
      <c r="AN42" s="74" t="str">
        <f t="shared" si="57"/>
        <v/>
      </c>
      <c r="AO42" s="74" t="str">
        <f t="shared" si="57"/>
        <v/>
      </c>
      <c r="AP42" s="78" t="str">
        <f t="shared" si="57"/>
        <v/>
      </c>
      <c r="AQ42" s="78" t="str">
        <f t="shared" si="57"/>
        <v/>
      </c>
      <c r="AR42" s="74" t="str">
        <f t="shared" si="57"/>
        <v/>
      </c>
      <c r="AS42" s="74" t="str">
        <f t="shared" si="58"/>
        <v/>
      </c>
      <c r="AT42" s="74" t="str">
        <f t="shared" si="58"/>
        <v/>
      </c>
      <c r="AU42" s="74" t="str">
        <f t="shared" si="58"/>
        <v/>
      </c>
      <c r="AV42" s="74" t="str">
        <f t="shared" si="58"/>
        <v/>
      </c>
      <c r="AW42" s="78" t="str">
        <f t="shared" si="58"/>
        <v/>
      </c>
      <c r="AX42" s="78" t="str">
        <f t="shared" si="58"/>
        <v/>
      </c>
      <c r="AY42" s="74" t="str">
        <f t="shared" si="58"/>
        <v/>
      </c>
      <c r="AZ42" s="74" t="str">
        <f t="shared" si="58"/>
        <v/>
      </c>
      <c r="BA42" s="74" t="str">
        <f t="shared" si="58"/>
        <v/>
      </c>
      <c r="BB42" s="74" t="str">
        <f t="shared" si="58"/>
        <v/>
      </c>
      <c r="BC42" s="75">
        <f t="shared" si="59"/>
        <v>700</v>
      </c>
      <c r="BD42" s="75">
        <f t="shared" si="59"/>
        <v>700</v>
      </c>
      <c r="BE42" s="75">
        <f t="shared" si="59"/>
        <v>700</v>
      </c>
      <c r="BF42" s="75">
        <f t="shared" si="59"/>
        <v>700</v>
      </c>
      <c r="BG42" s="75">
        <f t="shared" si="59"/>
        <v>700</v>
      </c>
      <c r="BH42" s="75">
        <f t="shared" si="59"/>
        <v>700</v>
      </c>
      <c r="BI42" s="75">
        <f t="shared" si="59"/>
        <v>700</v>
      </c>
      <c r="BJ42" s="75">
        <f t="shared" si="59"/>
        <v>700</v>
      </c>
      <c r="BK42" s="75">
        <f t="shared" si="59"/>
        <v>700</v>
      </c>
      <c r="BL42" s="75">
        <f t="shared" si="59"/>
        <v>700</v>
      </c>
      <c r="BM42" s="75">
        <f t="shared" si="60"/>
        <v>700</v>
      </c>
      <c r="BN42" s="75">
        <f t="shared" si="60"/>
        <v>700</v>
      </c>
      <c r="BO42" s="75">
        <f t="shared" si="60"/>
        <v>700</v>
      </c>
      <c r="BP42" s="75">
        <f t="shared" si="60"/>
        <v>700</v>
      </c>
      <c r="BQ42" s="75">
        <f t="shared" si="60"/>
        <v>700</v>
      </c>
      <c r="BR42" s="75">
        <f t="shared" si="60"/>
        <v>700</v>
      </c>
      <c r="BS42" s="75">
        <f t="shared" si="60"/>
        <v>700</v>
      </c>
      <c r="BT42" s="75">
        <f t="shared" si="60"/>
        <v>700</v>
      </c>
      <c r="BU42" s="75">
        <f t="shared" si="60"/>
        <v>700</v>
      </c>
      <c r="BV42" s="75">
        <f t="shared" si="60"/>
        <v>700</v>
      </c>
      <c r="BW42" s="76">
        <f t="shared" si="61"/>
        <v>700</v>
      </c>
      <c r="BX42" s="76">
        <f t="shared" si="61"/>
        <v>700</v>
      </c>
      <c r="BY42" s="76">
        <f t="shared" si="61"/>
        <v>700</v>
      </c>
      <c r="BZ42" s="76">
        <f t="shared" si="61"/>
        <v>700</v>
      </c>
      <c r="CA42" s="76">
        <f t="shared" si="61"/>
        <v>700</v>
      </c>
      <c r="CB42" s="76">
        <f t="shared" si="61"/>
        <v>700</v>
      </c>
      <c r="CC42" s="76">
        <f t="shared" si="61"/>
        <v>700</v>
      </c>
      <c r="CD42" s="76">
        <f t="shared" si="61"/>
        <v>700</v>
      </c>
      <c r="CE42" s="76">
        <f t="shared" si="61"/>
        <v>700</v>
      </c>
      <c r="CF42" s="76">
        <f t="shared" si="61"/>
        <v>700</v>
      </c>
      <c r="CG42" s="76">
        <f t="shared" si="62"/>
        <v>700</v>
      </c>
      <c r="CH42" s="76">
        <f t="shared" si="62"/>
        <v>700</v>
      </c>
      <c r="CI42" s="76">
        <f t="shared" si="62"/>
        <v>700</v>
      </c>
      <c r="CJ42" s="76">
        <f t="shared" si="62"/>
        <v>700</v>
      </c>
      <c r="CK42" s="76">
        <f t="shared" si="62"/>
        <v>700</v>
      </c>
      <c r="CL42" s="76">
        <f t="shared" si="62"/>
        <v>700</v>
      </c>
      <c r="CM42" s="76">
        <f t="shared" si="62"/>
        <v>700</v>
      </c>
      <c r="CN42" s="76">
        <f t="shared" si="62"/>
        <v>700</v>
      </c>
      <c r="CO42" s="76">
        <f t="shared" si="62"/>
        <v>700</v>
      </c>
      <c r="CP42" s="76">
        <f t="shared" si="62"/>
        <v>700</v>
      </c>
      <c r="CQ42" s="76">
        <f t="shared" si="63"/>
        <v>700</v>
      </c>
      <c r="CR42" s="76">
        <f t="shared" si="63"/>
        <v>700</v>
      </c>
      <c r="CS42" s="76">
        <f t="shared" si="63"/>
        <v>700</v>
      </c>
      <c r="CT42" s="76">
        <f t="shared" si="63"/>
        <v>700</v>
      </c>
      <c r="CU42" s="76">
        <f t="shared" si="63"/>
        <v>700</v>
      </c>
      <c r="CV42" s="76">
        <f t="shared" si="63"/>
        <v>700</v>
      </c>
      <c r="CW42" s="77">
        <f t="shared" si="63"/>
        <v>700</v>
      </c>
      <c r="CX42" s="77">
        <f t="shared" si="63"/>
        <v>700</v>
      </c>
      <c r="CY42" s="77">
        <f t="shared" si="63"/>
        <v>700</v>
      </c>
      <c r="CZ42" s="77">
        <f t="shared" si="63"/>
        <v>700</v>
      </c>
      <c r="DA42" s="77">
        <f t="shared" si="64"/>
        <v>700</v>
      </c>
      <c r="DB42" s="77">
        <f t="shared" si="64"/>
        <v>700</v>
      </c>
      <c r="DC42" s="77">
        <f t="shared" si="64"/>
        <v>700</v>
      </c>
      <c r="DD42" s="74" t="str">
        <f t="shared" si="64"/>
        <v/>
      </c>
      <c r="DE42" s="74" t="str">
        <f t="shared" si="64"/>
        <v/>
      </c>
      <c r="DF42" s="74" t="str">
        <f t="shared" si="64"/>
        <v/>
      </c>
      <c r="DG42" s="74" t="str">
        <f t="shared" si="64"/>
        <v/>
      </c>
      <c r="DH42" s="78" t="str">
        <f t="shared" si="64"/>
        <v/>
      </c>
      <c r="DI42" s="78" t="str">
        <f t="shared" si="64"/>
        <v/>
      </c>
      <c r="DJ42" s="74" t="str">
        <f t="shared" si="64"/>
        <v/>
      </c>
      <c r="DK42" s="74" t="str">
        <f t="shared" si="65"/>
        <v/>
      </c>
      <c r="DL42" s="74" t="str">
        <f t="shared" si="65"/>
        <v/>
      </c>
      <c r="DM42" s="74" t="str">
        <f t="shared" si="65"/>
        <v/>
      </c>
      <c r="DN42" s="74" t="str">
        <f t="shared" si="65"/>
        <v/>
      </c>
      <c r="DO42" s="78" t="str">
        <f t="shared" si="65"/>
        <v/>
      </c>
      <c r="DP42" s="78" t="str">
        <f t="shared" si="65"/>
        <v/>
      </c>
      <c r="DQ42" s="74" t="str">
        <f t="shared" si="65"/>
        <v/>
      </c>
      <c r="DR42" s="74" t="str">
        <f t="shared" si="65"/>
        <v/>
      </c>
      <c r="DS42" s="74" t="str">
        <f t="shared" si="65"/>
        <v/>
      </c>
      <c r="DT42" s="74" t="str">
        <f t="shared" si="65"/>
        <v/>
      </c>
      <c r="DU42" s="74" t="str">
        <f t="shared" si="66"/>
        <v/>
      </c>
      <c r="DV42" s="78" t="str">
        <f t="shared" si="66"/>
        <v/>
      </c>
      <c r="DW42" s="78" t="str">
        <f t="shared" si="66"/>
        <v/>
      </c>
      <c r="DX42" s="74" t="str">
        <f t="shared" si="66"/>
        <v/>
      </c>
      <c r="DY42" s="74" t="str">
        <f t="shared" si="66"/>
        <v/>
      </c>
      <c r="DZ42" s="74" t="str">
        <f t="shared" si="66"/>
        <v/>
      </c>
      <c r="EA42" s="74" t="str">
        <f t="shared" si="66"/>
        <v/>
      </c>
      <c r="EB42" s="74" t="str">
        <f t="shared" si="66"/>
        <v/>
      </c>
      <c r="EC42" s="78" t="str">
        <f t="shared" si="66"/>
        <v/>
      </c>
      <c r="ED42" s="78" t="str">
        <f t="shared" si="66"/>
        <v/>
      </c>
      <c r="EE42" s="74" t="str">
        <f t="shared" si="67"/>
        <v/>
      </c>
      <c r="EF42" s="74" t="str">
        <f t="shared" si="67"/>
        <v/>
      </c>
      <c r="EG42" s="74" t="str">
        <f t="shared" si="67"/>
        <v/>
      </c>
      <c r="EH42" s="74" t="str">
        <f t="shared" si="67"/>
        <v/>
      </c>
      <c r="EI42" s="74" t="str">
        <f t="shared" si="67"/>
        <v/>
      </c>
      <c r="EJ42" s="78" t="str">
        <f t="shared" si="67"/>
        <v/>
      </c>
      <c r="EK42" s="78" t="str">
        <f t="shared" si="67"/>
        <v/>
      </c>
      <c r="EL42" s="74" t="str">
        <f t="shared" si="67"/>
        <v/>
      </c>
      <c r="EM42" s="74" t="str">
        <f t="shared" si="67"/>
        <v/>
      </c>
      <c r="EN42" s="74" t="str">
        <f t="shared" si="67"/>
        <v/>
      </c>
      <c r="EO42" s="74" t="str">
        <f t="shared" si="68"/>
        <v/>
      </c>
      <c r="EP42" s="74" t="str">
        <f t="shared" si="68"/>
        <v/>
      </c>
      <c r="EQ42" s="78" t="str">
        <f t="shared" si="68"/>
        <v/>
      </c>
      <c r="ER42" s="78" t="str">
        <f t="shared" si="68"/>
        <v/>
      </c>
      <c r="ES42" s="74" t="str">
        <f t="shared" si="68"/>
        <v/>
      </c>
      <c r="ET42" s="74" t="str">
        <f t="shared" si="68"/>
        <v/>
      </c>
      <c r="EU42" s="74" t="str">
        <f t="shared" si="68"/>
        <v/>
      </c>
      <c r="EV42" s="74" t="str">
        <f t="shared" si="68"/>
        <v/>
      </c>
      <c r="EW42" s="74" t="str">
        <f t="shared" si="68"/>
        <v/>
      </c>
      <c r="EX42" s="78" t="str">
        <f t="shared" si="68"/>
        <v/>
      </c>
      <c r="EY42" s="78" t="str">
        <f t="shared" si="69"/>
        <v/>
      </c>
      <c r="EZ42" s="74" t="str">
        <f t="shared" si="69"/>
        <v/>
      </c>
      <c r="FA42" s="74" t="str">
        <f t="shared" si="69"/>
        <v/>
      </c>
      <c r="FB42" s="74" t="str">
        <f t="shared" si="69"/>
        <v/>
      </c>
      <c r="FC42" s="74" t="str">
        <f t="shared" si="69"/>
        <v/>
      </c>
      <c r="FD42" s="74" t="str">
        <f t="shared" si="69"/>
        <v/>
      </c>
      <c r="FE42" s="78" t="str">
        <f t="shared" si="69"/>
        <v/>
      </c>
      <c r="FF42" s="78" t="str">
        <f t="shared" si="69"/>
        <v/>
      </c>
      <c r="FG42" s="74" t="str">
        <f t="shared" si="69"/>
        <v/>
      </c>
      <c r="FH42" s="74" t="str">
        <f t="shared" si="69"/>
        <v/>
      </c>
      <c r="FI42" s="74" t="str">
        <f t="shared" si="70"/>
        <v/>
      </c>
      <c r="FJ42" s="74" t="str">
        <f t="shared" si="70"/>
        <v/>
      </c>
      <c r="FK42" s="74" t="str">
        <f t="shared" si="70"/>
        <v/>
      </c>
      <c r="FL42" s="78" t="str">
        <f t="shared" si="70"/>
        <v/>
      </c>
      <c r="FM42" s="78" t="str">
        <f t="shared" si="70"/>
        <v/>
      </c>
      <c r="FN42" s="74" t="str">
        <f t="shared" si="70"/>
        <v/>
      </c>
      <c r="FO42" s="74" t="str">
        <f t="shared" si="70"/>
        <v/>
      </c>
      <c r="FP42" s="74" t="str">
        <f t="shared" si="70"/>
        <v/>
      </c>
      <c r="FQ42" s="74" t="str">
        <f t="shared" si="70"/>
        <v/>
      </c>
      <c r="FR42" s="74" t="str">
        <f t="shared" si="70"/>
        <v/>
      </c>
      <c r="FS42" s="78" t="str">
        <f t="shared" si="71"/>
        <v/>
      </c>
      <c r="FT42" s="78" t="str">
        <f t="shared" si="71"/>
        <v/>
      </c>
      <c r="FU42" s="74" t="str">
        <f t="shared" si="71"/>
        <v/>
      </c>
      <c r="FV42" s="74" t="str">
        <f t="shared" si="71"/>
        <v/>
      </c>
      <c r="FW42" s="74" t="str">
        <f t="shared" si="71"/>
        <v/>
      </c>
      <c r="FX42" s="74" t="str">
        <f t="shared" si="71"/>
        <v/>
      </c>
      <c r="FY42" s="74" t="str">
        <f t="shared" si="71"/>
        <v/>
      </c>
      <c r="FZ42" s="78" t="str">
        <f t="shared" si="71"/>
        <v/>
      </c>
      <c r="GA42" s="78" t="str">
        <f t="shared" si="71"/>
        <v/>
      </c>
      <c r="GB42" s="74" t="str">
        <f t="shared" si="71"/>
        <v/>
      </c>
      <c r="GC42" s="74" t="str">
        <f t="shared" si="72"/>
        <v/>
      </c>
      <c r="GD42" s="74" t="str">
        <f t="shared" si="72"/>
        <v/>
      </c>
      <c r="GE42" s="74" t="str">
        <f t="shared" si="72"/>
        <v/>
      </c>
      <c r="GF42" s="74" t="str">
        <f t="shared" si="72"/>
        <v/>
      </c>
      <c r="GG42" s="78" t="str">
        <f t="shared" si="72"/>
        <v/>
      </c>
      <c r="GH42" s="78" t="str">
        <f t="shared" si="72"/>
        <v/>
      </c>
      <c r="GI42" s="74" t="str">
        <f t="shared" si="72"/>
        <v/>
      </c>
      <c r="GJ42" s="74" t="str">
        <f t="shared" si="72"/>
        <v/>
      </c>
      <c r="GK42" s="74" t="str">
        <f t="shared" si="72"/>
        <v/>
      </c>
      <c r="GL42" s="74" t="str">
        <f t="shared" si="72"/>
        <v/>
      </c>
      <c r="GM42" s="74" t="str">
        <f t="shared" si="73"/>
        <v/>
      </c>
      <c r="GN42" s="78" t="str">
        <f t="shared" si="73"/>
        <v/>
      </c>
      <c r="GO42" s="78" t="str">
        <f t="shared" si="73"/>
        <v/>
      </c>
      <c r="GP42" s="74" t="str">
        <f t="shared" si="73"/>
        <v/>
      </c>
      <c r="GQ42" s="74" t="str">
        <f t="shared" si="73"/>
        <v/>
      </c>
      <c r="GR42" s="74" t="str">
        <f t="shared" si="73"/>
        <v/>
      </c>
      <c r="GS42" s="74" t="str">
        <f t="shared" si="73"/>
        <v/>
      </c>
      <c r="GT42" s="74" t="str">
        <f t="shared" si="73"/>
        <v/>
      </c>
      <c r="GU42" s="78" t="str">
        <f t="shared" si="73"/>
        <v/>
      </c>
      <c r="GV42" s="78" t="str">
        <f t="shared" si="73"/>
        <v/>
      </c>
      <c r="GW42" s="74" t="str">
        <f t="shared" si="74"/>
        <v/>
      </c>
      <c r="GX42" s="74" t="str">
        <f t="shared" si="74"/>
        <v/>
      </c>
      <c r="GY42" s="74" t="str">
        <f t="shared" si="74"/>
        <v/>
      </c>
      <c r="GZ42" s="74" t="str">
        <f t="shared" si="74"/>
        <v/>
      </c>
      <c r="HA42" s="74" t="str">
        <f t="shared" si="74"/>
        <v/>
      </c>
      <c r="HB42" s="78" t="str">
        <f t="shared" si="74"/>
        <v/>
      </c>
      <c r="HC42" s="78" t="str">
        <f t="shared" si="74"/>
        <v/>
      </c>
      <c r="HD42" s="74" t="str">
        <f t="shared" si="74"/>
        <v/>
      </c>
      <c r="HE42" s="74" t="str">
        <f t="shared" si="74"/>
        <v/>
      </c>
      <c r="HF42" s="74" t="str">
        <f t="shared" si="74"/>
        <v/>
      </c>
      <c r="HG42" s="74" t="str">
        <f t="shared" si="74"/>
        <v/>
      </c>
      <c r="HH42" s="74" t="str">
        <f t="shared" si="74"/>
        <v/>
      </c>
    </row>
    <row r="43" spans="1:216" x14ac:dyDescent="0.2">
      <c r="A43" s="82" t="str">
        <f>'FY1 Event Pipeline'!A12</f>
        <v>Yas Winterfest</v>
      </c>
      <c r="B43" s="83">
        <f>_xlfn.XLOOKUP(A43,'FY1 Event Pipeline'!$A$4:$A$15,'FY1 Event Pipeline'!$H$4:$H$15)</f>
        <v>46352</v>
      </c>
      <c r="C43" s="83">
        <f>_xlfn.XLOOKUP(A43,'FY1 Event Pipeline'!$A$4:$A$15,'FY1 Event Pipeline'!$J$4:$J$15)</f>
        <v>46384</v>
      </c>
      <c r="D43" s="84">
        <f>_xlfn.XLOOKUP(A43,'FY1 Event Pipeline'!$A$4:$A$15,'FY1 Event Pipeline'!$P$4:$P$15)</f>
        <v>644</v>
      </c>
      <c r="E43" s="74" t="str">
        <f t="shared" si="54"/>
        <v/>
      </c>
      <c r="F43" s="74" t="str">
        <f t="shared" si="54"/>
        <v/>
      </c>
      <c r="G43" s="78" t="str">
        <f t="shared" si="54"/>
        <v/>
      </c>
      <c r="H43" s="78" t="str">
        <f t="shared" si="54"/>
        <v/>
      </c>
      <c r="I43" s="74" t="str">
        <f t="shared" si="54"/>
        <v/>
      </c>
      <c r="J43" s="74" t="str">
        <f t="shared" si="54"/>
        <v/>
      </c>
      <c r="K43" s="74" t="str">
        <f t="shared" si="54"/>
        <v/>
      </c>
      <c r="L43" s="74" t="str">
        <f t="shared" si="54"/>
        <v/>
      </c>
      <c r="M43" s="74" t="str">
        <f t="shared" si="54"/>
        <v/>
      </c>
      <c r="N43" s="78" t="str">
        <f t="shared" si="54"/>
        <v/>
      </c>
      <c r="O43" s="78" t="str">
        <f t="shared" si="55"/>
        <v/>
      </c>
      <c r="P43" s="74" t="str">
        <f t="shared" si="55"/>
        <v/>
      </c>
      <c r="Q43" s="74" t="str">
        <f t="shared" si="55"/>
        <v/>
      </c>
      <c r="R43" s="74" t="str">
        <f t="shared" si="55"/>
        <v/>
      </c>
      <c r="S43" s="74" t="str">
        <f t="shared" si="55"/>
        <v/>
      </c>
      <c r="T43" s="74" t="str">
        <f t="shared" si="55"/>
        <v/>
      </c>
      <c r="U43" s="78" t="str">
        <f t="shared" si="55"/>
        <v/>
      </c>
      <c r="V43" s="78" t="str">
        <f t="shared" si="55"/>
        <v/>
      </c>
      <c r="W43" s="74" t="str">
        <f t="shared" si="55"/>
        <v/>
      </c>
      <c r="X43" s="74" t="str">
        <f t="shared" si="55"/>
        <v/>
      </c>
      <c r="Y43" s="74" t="str">
        <f t="shared" si="56"/>
        <v/>
      </c>
      <c r="Z43" s="74" t="str">
        <f t="shared" si="56"/>
        <v/>
      </c>
      <c r="AA43" s="74" t="str">
        <f t="shared" si="56"/>
        <v/>
      </c>
      <c r="AB43" s="78" t="str">
        <f t="shared" si="56"/>
        <v/>
      </c>
      <c r="AC43" s="78" t="str">
        <f t="shared" si="56"/>
        <v/>
      </c>
      <c r="AD43" s="74" t="str">
        <f t="shared" si="56"/>
        <v/>
      </c>
      <c r="AE43" s="74" t="str">
        <f t="shared" si="56"/>
        <v/>
      </c>
      <c r="AF43" s="74" t="str">
        <f t="shared" si="56"/>
        <v/>
      </c>
      <c r="AG43" s="74" t="str">
        <f t="shared" si="56"/>
        <v/>
      </c>
      <c r="AH43" s="74" t="str">
        <f t="shared" si="56"/>
        <v/>
      </c>
      <c r="AI43" s="78" t="str">
        <f t="shared" si="57"/>
        <v/>
      </c>
      <c r="AJ43" s="78" t="str">
        <f t="shared" si="57"/>
        <v/>
      </c>
      <c r="AK43" s="74" t="str">
        <f t="shared" si="57"/>
        <v/>
      </c>
      <c r="AL43" s="74" t="str">
        <f t="shared" si="57"/>
        <v/>
      </c>
      <c r="AM43" s="74" t="str">
        <f t="shared" si="57"/>
        <v/>
      </c>
      <c r="AN43" s="74" t="str">
        <f t="shared" si="57"/>
        <v/>
      </c>
      <c r="AO43" s="74" t="str">
        <f t="shared" si="57"/>
        <v/>
      </c>
      <c r="AP43" s="78" t="str">
        <f t="shared" si="57"/>
        <v/>
      </c>
      <c r="AQ43" s="78" t="str">
        <f t="shared" si="57"/>
        <v/>
      </c>
      <c r="AR43" s="74" t="str">
        <f t="shared" si="57"/>
        <v/>
      </c>
      <c r="AS43" s="74" t="str">
        <f t="shared" si="58"/>
        <v/>
      </c>
      <c r="AT43" s="74" t="str">
        <f t="shared" si="58"/>
        <v/>
      </c>
      <c r="AU43" s="74" t="str">
        <f t="shared" si="58"/>
        <v/>
      </c>
      <c r="AV43" s="74" t="str">
        <f t="shared" si="58"/>
        <v/>
      </c>
      <c r="AW43" s="78" t="str">
        <f t="shared" si="58"/>
        <v/>
      </c>
      <c r="AX43" s="78" t="str">
        <f t="shared" si="58"/>
        <v/>
      </c>
      <c r="AY43" s="74" t="str">
        <f t="shared" si="58"/>
        <v/>
      </c>
      <c r="AZ43" s="74" t="str">
        <f t="shared" si="58"/>
        <v/>
      </c>
      <c r="BA43" s="74" t="str">
        <f t="shared" si="58"/>
        <v/>
      </c>
      <c r="BB43" s="74" t="str">
        <f t="shared" si="58"/>
        <v/>
      </c>
      <c r="BC43" s="74" t="str">
        <f t="shared" si="59"/>
        <v/>
      </c>
      <c r="BD43" s="78" t="str">
        <f t="shared" si="59"/>
        <v/>
      </c>
      <c r="BE43" s="78" t="str">
        <f t="shared" si="59"/>
        <v/>
      </c>
      <c r="BF43" s="74" t="str">
        <f t="shared" si="59"/>
        <v/>
      </c>
      <c r="BG43" s="74" t="str">
        <f t="shared" si="59"/>
        <v/>
      </c>
      <c r="BH43" s="74" t="str">
        <f t="shared" si="59"/>
        <v/>
      </c>
      <c r="BI43" s="75">
        <f t="shared" si="59"/>
        <v>644</v>
      </c>
      <c r="BJ43" s="75">
        <f t="shared" si="59"/>
        <v>644</v>
      </c>
      <c r="BK43" s="75">
        <f t="shared" si="59"/>
        <v>644</v>
      </c>
      <c r="BL43" s="75">
        <f t="shared" si="59"/>
        <v>644</v>
      </c>
      <c r="BM43" s="75">
        <f t="shared" si="60"/>
        <v>644</v>
      </c>
      <c r="BN43" s="75">
        <f t="shared" si="60"/>
        <v>644</v>
      </c>
      <c r="BO43" s="75">
        <f t="shared" si="60"/>
        <v>644</v>
      </c>
      <c r="BP43" s="75">
        <f t="shared" si="60"/>
        <v>644</v>
      </c>
      <c r="BQ43" s="75">
        <f t="shared" si="60"/>
        <v>644</v>
      </c>
      <c r="BR43" s="75">
        <f t="shared" si="60"/>
        <v>644</v>
      </c>
      <c r="BS43" s="75">
        <f t="shared" si="60"/>
        <v>644</v>
      </c>
      <c r="BT43" s="75">
        <f t="shared" si="60"/>
        <v>644</v>
      </c>
      <c r="BU43" s="75">
        <f t="shared" si="60"/>
        <v>644</v>
      </c>
      <c r="BV43" s="75">
        <f t="shared" si="60"/>
        <v>644</v>
      </c>
      <c r="BW43" s="75">
        <f t="shared" si="61"/>
        <v>644</v>
      </c>
      <c r="BX43" s="76">
        <f t="shared" si="61"/>
        <v>644</v>
      </c>
      <c r="BY43" s="76">
        <f t="shared" si="61"/>
        <v>644</v>
      </c>
      <c r="BZ43" s="76">
        <f t="shared" si="61"/>
        <v>644</v>
      </c>
      <c r="CA43" s="76">
        <f t="shared" si="61"/>
        <v>644</v>
      </c>
      <c r="CB43" s="76">
        <f t="shared" si="61"/>
        <v>644</v>
      </c>
      <c r="CC43" s="76">
        <f t="shared" si="61"/>
        <v>644</v>
      </c>
      <c r="CD43" s="76">
        <f t="shared" si="61"/>
        <v>644</v>
      </c>
      <c r="CE43" s="76">
        <f t="shared" si="61"/>
        <v>644</v>
      </c>
      <c r="CF43" s="76">
        <f t="shared" si="61"/>
        <v>644</v>
      </c>
      <c r="CG43" s="76">
        <f t="shared" si="62"/>
        <v>644</v>
      </c>
      <c r="CH43" s="76">
        <f t="shared" si="62"/>
        <v>644</v>
      </c>
      <c r="CI43" s="77">
        <f t="shared" si="62"/>
        <v>644</v>
      </c>
      <c r="CJ43" s="77">
        <f t="shared" si="62"/>
        <v>644</v>
      </c>
      <c r="CK43" s="77">
        <f t="shared" si="62"/>
        <v>644</v>
      </c>
      <c r="CL43" s="77">
        <f t="shared" si="62"/>
        <v>644</v>
      </c>
      <c r="CM43" s="77">
        <f t="shared" si="62"/>
        <v>644</v>
      </c>
      <c r="CN43" s="77">
        <f t="shared" si="62"/>
        <v>644</v>
      </c>
      <c r="CO43" s="77">
        <f t="shared" si="62"/>
        <v>644</v>
      </c>
      <c r="CP43" s="74" t="str">
        <f t="shared" si="62"/>
        <v/>
      </c>
      <c r="CQ43" s="74" t="str">
        <f t="shared" si="63"/>
        <v/>
      </c>
      <c r="CR43" s="74" t="str">
        <f t="shared" si="63"/>
        <v/>
      </c>
      <c r="CS43" s="74" t="str">
        <f t="shared" si="63"/>
        <v/>
      </c>
      <c r="CT43" s="78" t="str">
        <f t="shared" si="63"/>
        <v/>
      </c>
      <c r="CU43" s="78" t="str">
        <f t="shared" si="63"/>
        <v/>
      </c>
      <c r="CV43" s="74" t="str">
        <f t="shared" si="63"/>
        <v/>
      </c>
      <c r="CW43" s="74" t="str">
        <f t="shared" si="63"/>
        <v/>
      </c>
      <c r="CX43" s="74" t="str">
        <f t="shared" si="63"/>
        <v/>
      </c>
      <c r="CY43" s="74" t="str">
        <f t="shared" si="63"/>
        <v/>
      </c>
      <c r="CZ43" s="74" t="str">
        <f t="shared" si="63"/>
        <v/>
      </c>
      <c r="DA43" s="78" t="str">
        <f t="shared" si="64"/>
        <v/>
      </c>
      <c r="DB43" s="78" t="str">
        <f t="shared" si="64"/>
        <v/>
      </c>
      <c r="DC43" s="74" t="str">
        <f t="shared" si="64"/>
        <v/>
      </c>
      <c r="DD43" s="74" t="str">
        <f t="shared" si="64"/>
        <v/>
      </c>
      <c r="DE43" s="74" t="str">
        <f t="shared" si="64"/>
        <v/>
      </c>
      <c r="DF43" s="74" t="str">
        <f t="shared" si="64"/>
        <v/>
      </c>
      <c r="DG43" s="74" t="str">
        <f t="shared" si="64"/>
        <v/>
      </c>
      <c r="DH43" s="78" t="str">
        <f t="shared" si="64"/>
        <v/>
      </c>
      <c r="DI43" s="78" t="str">
        <f t="shared" si="64"/>
        <v/>
      </c>
      <c r="DJ43" s="74" t="str">
        <f t="shared" si="64"/>
        <v/>
      </c>
      <c r="DK43" s="74" t="str">
        <f t="shared" si="65"/>
        <v/>
      </c>
      <c r="DL43" s="74" t="str">
        <f t="shared" si="65"/>
        <v/>
      </c>
      <c r="DM43" s="74" t="str">
        <f t="shared" si="65"/>
        <v/>
      </c>
      <c r="DN43" s="74" t="str">
        <f t="shared" si="65"/>
        <v/>
      </c>
      <c r="DO43" s="78" t="str">
        <f t="shared" si="65"/>
        <v/>
      </c>
      <c r="DP43" s="78" t="str">
        <f t="shared" si="65"/>
        <v/>
      </c>
      <c r="DQ43" s="74" t="str">
        <f t="shared" si="65"/>
        <v/>
      </c>
      <c r="DR43" s="74" t="str">
        <f t="shared" si="65"/>
        <v/>
      </c>
      <c r="DS43" s="74" t="str">
        <f t="shared" si="65"/>
        <v/>
      </c>
      <c r="DT43" s="74" t="str">
        <f t="shared" si="65"/>
        <v/>
      </c>
      <c r="DU43" s="74" t="str">
        <f t="shared" si="66"/>
        <v/>
      </c>
      <c r="DV43" s="78" t="str">
        <f t="shared" si="66"/>
        <v/>
      </c>
      <c r="DW43" s="78" t="str">
        <f t="shared" si="66"/>
        <v/>
      </c>
      <c r="DX43" s="74" t="str">
        <f t="shared" si="66"/>
        <v/>
      </c>
      <c r="DY43" s="74" t="str">
        <f t="shared" si="66"/>
        <v/>
      </c>
      <c r="DZ43" s="74" t="str">
        <f t="shared" si="66"/>
        <v/>
      </c>
      <c r="EA43" s="74" t="str">
        <f t="shared" si="66"/>
        <v/>
      </c>
      <c r="EB43" s="74" t="str">
        <f t="shared" si="66"/>
        <v/>
      </c>
      <c r="EC43" s="78" t="str">
        <f t="shared" si="66"/>
        <v/>
      </c>
      <c r="ED43" s="78" t="str">
        <f t="shared" si="66"/>
        <v/>
      </c>
      <c r="EE43" s="74" t="str">
        <f t="shared" si="67"/>
        <v/>
      </c>
      <c r="EF43" s="74" t="str">
        <f t="shared" si="67"/>
        <v/>
      </c>
      <c r="EG43" s="74" t="str">
        <f t="shared" si="67"/>
        <v/>
      </c>
      <c r="EH43" s="74" t="str">
        <f t="shared" si="67"/>
        <v/>
      </c>
      <c r="EI43" s="74" t="str">
        <f t="shared" si="67"/>
        <v/>
      </c>
      <c r="EJ43" s="78" t="str">
        <f t="shared" si="67"/>
        <v/>
      </c>
      <c r="EK43" s="78" t="str">
        <f t="shared" si="67"/>
        <v/>
      </c>
      <c r="EL43" s="74" t="str">
        <f t="shared" si="67"/>
        <v/>
      </c>
      <c r="EM43" s="74" t="str">
        <f t="shared" si="67"/>
        <v/>
      </c>
      <c r="EN43" s="74" t="str">
        <f t="shared" si="67"/>
        <v/>
      </c>
      <c r="EO43" s="74" t="str">
        <f t="shared" si="68"/>
        <v/>
      </c>
      <c r="EP43" s="74" t="str">
        <f t="shared" si="68"/>
        <v/>
      </c>
      <c r="EQ43" s="78" t="str">
        <f t="shared" si="68"/>
        <v/>
      </c>
      <c r="ER43" s="78" t="str">
        <f t="shared" si="68"/>
        <v/>
      </c>
      <c r="ES43" s="74" t="str">
        <f t="shared" si="68"/>
        <v/>
      </c>
      <c r="ET43" s="74" t="str">
        <f t="shared" si="68"/>
        <v/>
      </c>
      <c r="EU43" s="74" t="str">
        <f t="shared" si="68"/>
        <v/>
      </c>
      <c r="EV43" s="74" t="str">
        <f t="shared" si="68"/>
        <v/>
      </c>
      <c r="EW43" s="74" t="str">
        <f t="shared" si="68"/>
        <v/>
      </c>
      <c r="EX43" s="78" t="str">
        <f t="shared" si="68"/>
        <v/>
      </c>
      <c r="EY43" s="78" t="str">
        <f t="shared" si="69"/>
        <v/>
      </c>
      <c r="EZ43" s="74" t="str">
        <f t="shared" si="69"/>
        <v/>
      </c>
      <c r="FA43" s="74" t="str">
        <f t="shared" si="69"/>
        <v/>
      </c>
      <c r="FB43" s="74" t="str">
        <f t="shared" si="69"/>
        <v/>
      </c>
      <c r="FC43" s="74" t="str">
        <f t="shared" si="69"/>
        <v/>
      </c>
      <c r="FD43" s="74" t="str">
        <f t="shared" si="69"/>
        <v/>
      </c>
      <c r="FE43" s="78" t="str">
        <f t="shared" si="69"/>
        <v/>
      </c>
      <c r="FF43" s="78" t="str">
        <f t="shared" si="69"/>
        <v/>
      </c>
      <c r="FG43" s="74" t="str">
        <f t="shared" si="69"/>
        <v/>
      </c>
      <c r="FH43" s="74" t="str">
        <f t="shared" si="69"/>
        <v/>
      </c>
      <c r="FI43" s="74" t="str">
        <f t="shared" si="70"/>
        <v/>
      </c>
      <c r="FJ43" s="74" t="str">
        <f t="shared" si="70"/>
        <v/>
      </c>
      <c r="FK43" s="74" t="str">
        <f t="shared" si="70"/>
        <v/>
      </c>
      <c r="FL43" s="78" t="str">
        <f t="shared" si="70"/>
        <v/>
      </c>
      <c r="FM43" s="78" t="str">
        <f t="shared" si="70"/>
        <v/>
      </c>
      <c r="FN43" s="74" t="str">
        <f t="shared" si="70"/>
        <v/>
      </c>
      <c r="FO43" s="74" t="str">
        <f t="shared" si="70"/>
        <v/>
      </c>
      <c r="FP43" s="74" t="str">
        <f t="shared" si="70"/>
        <v/>
      </c>
      <c r="FQ43" s="74" t="str">
        <f t="shared" si="70"/>
        <v/>
      </c>
      <c r="FR43" s="74" t="str">
        <f t="shared" si="70"/>
        <v/>
      </c>
      <c r="FS43" s="78" t="str">
        <f t="shared" si="71"/>
        <v/>
      </c>
      <c r="FT43" s="78" t="str">
        <f t="shared" si="71"/>
        <v/>
      </c>
      <c r="FU43" s="74" t="str">
        <f t="shared" si="71"/>
        <v/>
      </c>
      <c r="FV43" s="74" t="str">
        <f t="shared" si="71"/>
        <v/>
      </c>
      <c r="FW43" s="74" t="str">
        <f t="shared" si="71"/>
        <v/>
      </c>
      <c r="FX43" s="74" t="str">
        <f t="shared" si="71"/>
        <v/>
      </c>
      <c r="FY43" s="74" t="str">
        <f t="shared" si="71"/>
        <v/>
      </c>
      <c r="FZ43" s="78" t="str">
        <f t="shared" si="71"/>
        <v/>
      </c>
      <c r="GA43" s="78" t="str">
        <f t="shared" si="71"/>
        <v/>
      </c>
      <c r="GB43" s="74" t="str">
        <f t="shared" si="71"/>
        <v/>
      </c>
      <c r="GC43" s="74" t="str">
        <f t="shared" si="72"/>
        <v/>
      </c>
      <c r="GD43" s="74" t="str">
        <f t="shared" si="72"/>
        <v/>
      </c>
      <c r="GE43" s="74" t="str">
        <f t="shared" si="72"/>
        <v/>
      </c>
      <c r="GF43" s="74" t="str">
        <f t="shared" si="72"/>
        <v/>
      </c>
      <c r="GG43" s="78" t="str">
        <f t="shared" si="72"/>
        <v/>
      </c>
      <c r="GH43" s="78" t="str">
        <f t="shared" si="72"/>
        <v/>
      </c>
      <c r="GI43" s="74" t="str">
        <f t="shared" si="72"/>
        <v/>
      </c>
      <c r="GJ43" s="74" t="str">
        <f t="shared" si="72"/>
        <v/>
      </c>
      <c r="GK43" s="74" t="str">
        <f t="shared" si="72"/>
        <v/>
      </c>
      <c r="GL43" s="74" t="str">
        <f t="shared" si="72"/>
        <v/>
      </c>
      <c r="GM43" s="74" t="str">
        <f t="shared" si="73"/>
        <v/>
      </c>
      <c r="GN43" s="78" t="str">
        <f t="shared" si="73"/>
        <v/>
      </c>
      <c r="GO43" s="78" t="str">
        <f t="shared" si="73"/>
        <v/>
      </c>
      <c r="GP43" s="74" t="str">
        <f t="shared" si="73"/>
        <v/>
      </c>
      <c r="GQ43" s="74" t="str">
        <f t="shared" si="73"/>
        <v/>
      </c>
      <c r="GR43" s="74" t="str">
        <f t="shared" si="73"/>
        <v/>
      </c>
      <c r="GS43" s="74" t="str">
        <f t="shared" si="73"/>
        <v/>
      </c>
      <c r="GT43" s="74" t="str">
        <f t="shared" si="73"/>
        <v/>
      </c>
      <c r="GU43" s="78" t="str">
        <f t="shared" si="73"/>
        <v/>
      </c>
      <c r="GV43" s="78" t="str">
        <f t="shared" si="73"/>
        <v/>
      </c>
      <c r="GW43" s="74" t="str">
        <f t="shared" si="74"/>
        <v/>
      </c>
      <c r="GX43" s="74" t="str">
        <f t="shared" si="74"/>
        <v/>
      </c>
      <c r="GY43" s="74" t="str">
        <f t="shared" si="74"/>
        <v/>
      </c>
      <c r="GZ43" s="74" t="str">
        <f t="shared" si="74"/>
        <v/>
      </c>
      <c r="HA43" s="74" t="str">
        <f t="shared" si="74"/>
        <v/>
      </c>
      <c r="HB43" s="78" t="str">
        <f t="shared" si="74"/>
        <v/>
      </c>
      <c r="HC43" s="78" t="str">
        <f t="shared" si="74"/>
        <v/>
      </c>
      <c r="HD43" s="74" t="str">
        <f t="shared" si="74"/>
        <v/>
      </c>
      <c r="HE43" s="74" t="str">
        <f t="shared" si="74"/>
        <v/>
      </c>
      <c r="HF43" s="74" t="str">
        <f t="shared" si="74"/>
        <v/>
      </c>
      <c r="HG43" s="74" t="str">
        <f t="shared" si="74"/>
        <v/>
      </c>
      <c r="HH43" s="74" t="str">
        <f t="shared" si="74"/>
        <v/>
      </c>
    </row>
    <row r="44" spans="1:216" x14ac:dyDescent="0.2">
      <c r="A44" s="82" t="str">
        <f>'FY1 Event Pipeline'!A13</f>
        <v>Animenia</v>
      </c>
      <c r="B44" s="83">
        <f>_xlfn.XLOOKUP(A44,'FY1 Event Pipeline'!$A$4:$A$15,'FY1 Event Pipeline'!$H$4:$H$15)</f>
        <v>46414</v>
      </c>
      <c r="C44" s="83">
        <f>_xlfn.XLOOKUP(A44,'FY1 Event Pipeline'!$A$4:$A$15,'FY1 Event Pipeline'!$J$4:$J$15)</f>
        <v>46436</v>
      </c>
      <c r="D44" s="84">
        <f>_xlfn.XLOOKUP(A44,'FY1 Event Pipeline'!$A$4:$A$15,'FY1 Event Pipeline'!$P$4:$P$15)</f>
        <v>288</v>
      </c>
      <c r="E44" s="74" t="str">
        <f t="shared" si="54"/>
        <v/>
      </c>
      <c r="F44" s="74" t="str">
        <f t="shared" si="54"/>
        <v/>
      </c>
      <c r="G44" s="78" t="str">
        <f t="shared" si="54"/>
        <v/>
      </c>
      <c r="H44" s="78" t="str">
        <f t="shared" si="54"/>
        <v/>
      </c>
      <c r="I44" s="74" t="str">
        <f t="shared" si="54"/>
        <v/>
      </c>
      <c r="J44" s="74" t="str">
        <f t="shared" si="54"/>
        <v/>
      </c>
      <c r="K44" s="74" t="str">
        <f t="shared" si="54"/>
        <v/>
      </c>
      <c r="L44" s="74" t="str">
        <f t="shared" si="54"/>
        <v/>
      </c>
      <c r="M44" s="74" t="str">
        <f t="shared" si="54"/>
        <v/>
      </c>
      <c r="N44" s="78" t="str">
        <f t="shared" si="54"/>
        <v/>
      </c>
      <c r="O44" s="78" t="str">
        <f t="shared" si="55"/>
        <v/>
      </c>
      <c r="P44" s="74" t="str">
        <f t="shared" si="55"/>
        <v/>
      </c>
      <c r="Q44" s="74" t="str">
        <f t="shared" si="55"/>
        <v/>
      </c>
      <c r="R44" s="74" t="str">
        <f t="shared" si="55"/>
        <v/>
      </c>
      <c r="S44" s="74" t="str">
        <f t="shared" si="55"/>
        <v/>
      </c>
      <c r="T44" s="74" t="str">
        <f t="shared" si="55"/>
        <v/>
      </c>
      <c r="U44" s="78" t="str">
        <f t="shared" si="55"/>
        <v/>
      </c>
      <c r="V44" s="78" t="str">
        <f t="shared" si="55"/>
        <v/>
      </c>
      <c r="W44" s="74" t="str">
        <f t="shared" si="55"/>
        <v/>
      </c>
      <c r="X44" s="74" t="str">
        <f t="shared" si="55"/>
        <v/>
      </c>
      <c r="Y44" s="74" t="str">
        <f t="shared" si="56"/>
        <v/>
      </c>
      <c r="Z44" s="74" t="str">
        <f t="shared" si="56"/>
        <v/>
      </c>
      <c r="AA44" s="74" t="str">
        <f t="shared" si="56"/>
        <v/>
      </c>
      <c r="AB44" s="78" t="str">
        <f t="shared" si="56"/>
        <v/>
      </c>
      <c r="AC44" s="78" t="str">
        <f t="shared" si="56"/>
        <v/>
      </c>
      <c r="AD44" s="74" t="str">
        <f t="shared" si="56"/>
        <v/>
      </c>
      <c r="AE44" s="74" t="str">
        <f t="shared" si="56"/>
        <v/>
      </c>
      <c r="AF44" s="74" t="str">
        <f t="shared" si="56"/>
        <v/>
      </c>
      <c r="AG44" s="74" t="str">
        <f t="shared" si="56"/>
        <v/>
      </c>
      <c r="AH44" s="74" t="str">
        <f t="shared" si="56"/>
        <v/>
      </c>
      <c r="AI44" s="78" t="str">
        <f t="shared" si="57"/>
        <v/>
      </c>
      <c r="AJ44" s="78" t="str">
        <f t="shared" si="57"/>
        <v/>
      </c>
      <c r="AK44" s="74" t="str">
        <f t="shared" si="57"/>
        <v/>
      </c>
      <c r="AL44" s="74" t="str">
        <f t="shared" si="57"/>
        <v/>
      </c>
      <c r="AM44" s="74" t="str">
        <f t="shared" si="57"/>
        <v/>
      </c>
      <c r="AN44" s="74" t="str">
        <f t="shared" si="57"/>
        <v/>
      </c>
      <c r="AO44" s="74" t="str">
        <f t="shared" si="57"/>
        <v/>
      </c>
      <c r="AP44" s="78" t="str">
        <f t="shared" si="57"/>
        <v/>
      </c>
      <c r="AQ44" s="78" t="str">
        <f t="shared" si="57"/>
        <v/>
      </c>
      <c r="AR44" s="74" t="str">
        <f t="shared" si="57"/>
        <v/>
      </c>
      <c r="AS44" s="74" t="str">
        <f t="shared" si="58"/>
        <v/>
      </c>
      <c r="AT44" s="74" t="str">
        <f t="shared" si="58"/>
        <v/>
      </c>
      <c r="AU44" s="74" t="str">
        <f t="shared" si="58"/>
        <v/>
      </c>
      <c r="AV44" s="74" t="str">
        <f t="shared" si="58"/>
        <v/>
      </c>
      <c r="AW44" s="78" t="str">
        <f t="shared" si="58"/>
        <v/>
      </c>
      <c r="AX44" s="78" t="str">
        <f t="shared" si="58"/>
        <v/>
      </c>
      <c r="AY44" s="74" t="str">
        <f t="shared" si="58"/>
        <v/>
      </c>
      <c r="AZ44" s="74" t="str">
        <f t="shared" si="58"/>
        <v/>
      </c>
      <c r="BA44" s="74" t="str">
        <f t="shared" si="58"/>
        <v/>
      </c>
      <c r="BB44" s="74" t="str">
        <f t="shared" si="58"/>
        <v/>
      </c>
      <c r="BC44" s="74" t="str">
        <f t="shared" si="59"/>
        <v/>
      </c>
      <c r="BD44" s="78" t="str">
        <f t="shared" si="59"/>
        <v/>
      </c>
      <c r="BE44" s="78" t="str">
        <f t="shared" si="59"/>
        <v/>
      </c>
      <c r="BF44" s="74" t="str">
        <f t="shared" si="59"/>
        <v/>
      </c>
      <c r="BG44" s="74" t="str">
        <f t="shared" si="59"/>
        <v/>
      </c>
      <c r="BH44" s="74" t="str">
        <f t="shared" si="59"/>
        <v/>
      </c>
      <c r="BI44" s="74" t="str">
        <f t="shared" si="59"/>
        <v/>
      </c>
      <c r="BJ44" s="74" t="str">
        <f t="shared" si="59"/>
        <v/>
      </c>
      <c r="BK44" s="78" t="str">
        <f t="shared" si="59"/>
        <v/>
      </c>
      <c r="BL44" s="78" t="str">
        <f t="shared" si="59"/>
        <v/>
      </c>
      <c r="BM44" s="74" t="str">
        <f t="shared" si="60"/>
        <v/>
      </c>
      <c r="BN44" s="74" t="str">
        <f t="shared" si="60"/>
        <v/>
      </c>
      <c r="BO44" s="74" t="str">
        <f t="shared" si="60"/>
        <v/>
      </c>
      <c r="BP44" s="74" t="str">
        <f t="shared" si="60"/>
        <v/>
      </c>
      <c r="BQ44" s="74" t="str">
        <f t="shared" si="60"/>
        <v/>
      </c>
      <c r="BR44" s="78" t="str">
        <f t="shared" si="60"/>
        <v/>
      </c>
      <c r="BS44" s="78" t="str">
        <f t="shared" si="60"/>
        <v/>
      </c>
      <c r="BT44" s="74" t="str">
        <f t="shared" si="60"/>
        <v/>
      </c>
      <c r="BU44" s="74" t="str">
        <f t="shared" si="60"/>
        <v/>
      </c>
      <c r="BV44" s="74" t="str">
        <f t="shared" si="60"/>
        <v/>
      </c>
      <c r="BW44" s="74" t="str">
        <f t="shared" si="61"/>
        <v/>
      </c>
      <c r="BX44" s="74" t="str">
        <f t="shared" si="61"/>
        <v/>
      </c>
      <c r="BY44" s="78" t="str">
        <f t="shared" si="61"/>
        <v/>
      </c>
      <c r="BZ44" s="78" t="str">
        <f t="shared" si="61"/>
        <v/>
      </c>
      <c r="CA44" s="74" t="str">
        <f t="shared" si="61"/>
        <v/>
      </c>
      <c r="CB44" s="74" t="str">
        <f t="shared" si="61"/>
        <v/>
      </c>
      <c r="CC44" s="74" t="str">
        <f t="shared" si="61"/>
        <v/>
      </c>
      <c r="CD44" s="74" t="str">
        <f t="shared" si="61"/>
        <v/>
      </c>
      <c r="CE44" s="74" t="str">
        <f t="shared" si="61"/>
        <v/>
      </c>
      <c r="CF44" s="78" t="str">
        <f t="shared" si="61"/>
        <v/>
      </c>
      <c r="CG44" s="78" t="str">
        <f t="shared" si="62"/>
        <v/>
      </c>
      <c r="CH44" s="74" t="str">
        <f t="shared" si="62"/>
        <v/>
      </c>
      <c r="CI44" s="74" t="str">
        <f t="shared" si="62"/>
        <v/>
      </c>
      <c r="CJ44" s="74" t="str">
        <f t="shared" si="62"/>
        <v/>
      </c>
      <c r="CK44" s="74" t="str">
        <f t="shared" si="62"/>
        <v/>
      </c>
      <c r="CL44" s="74" t="str">
        <f t="shared" si="62"/>
        <v/>
      </c>
      <c r="CM44" s="78" t="str">
        <f t="shared" si="62"/>
        <v/>
      </c>
      <c r="CN44" s="78" t="str">
        <f t="shared" si="62"/>
        <v/>
      </c>
      <c r="CO44" s="74" t="str">
        <f t="shared" si="62"/>
        <v/>
      </c>
      <c r="CP44" s="74" t="str">
        <f t="shared" si="62"/>
        <v/>
      </c>
      <c r="CQ44" s="74" t="str">
        <f t="shared" si="63"/>
        <v/>
      </c>
      <c r="CR44" s="74" t="str">
        <f t="shared" si="63"/>
        <v/>
      </c>
      <c r="CS44" s="74" t="str">
        <f t="shared" si="63"/>
        <v/>
      </c>
      <c r="CT44" s="78" t="str">
        <f t="shared" si="63"/>
        <v/>
      </c>
      <c r="CU44" s="78" t="str">
        <f t="shared" si="63"/>
        <v/>
      </c>
      <c r="CV44" s="74" t="str">
        <f t="shared" si="63"/>
        <v/>
      </c>
      <c r="CW44" s="74" t="str">
        <f t="shared" si="63"/>
        <v/>
      </c>
      <c r="CX44" s="74" t="str">
        <f t="shared" si="63"/>
        <v/>
      </c>
      <c r="CY44" s="74" t="str">
        <f t="shared" si="63"/>
        <v/>
      </c>
      <c r="CZ44" s="74" t="str">
        <f t="shared" si="63"/>
        <v/>
      </c>
      <c r="DA44" s="78" t="str">
        <f t="shared" si="64"/>
        <v/>
      </c>
      <c r="DB44" s="78" t="str">
        <f t="shared" si="64"/>
        <v/>
      </c>
      <c r="DC44" s="74" t="str">
        <f t="shared" si="64"/>
        <v/>
      </c>
      <c r="DD44" s="74" t="str">
        <f t="shared" si="64"/>
        <v/>
      </c>
      <c r="DE44" s="74" t="str">
        <f t="shared" si="64"/>
        <v/>
      </c>
      <c r="DF44" s="74" t="str">
        <f t="shared" si="64"/>
        <v/>
      </c>
      <c r="DG44" s="74" t="str">
        <f t="shared" si="64"/>
        <v/>
      </c>
      <c r="DH44" s="78" t="str">
        <f t="shared" si="64"/>
        <v/>
      </c>
      <c r="DI44" s="78" t="str">
        <f t="shared" si="64"/>
        <v/>
      </c>
      <c r="DJ44" s="74" t="str">
        <f t="shared" si="64"/>
        <v/>
      </c>
      <c r="DK44" s="74" t="str">
        <f t="shared" si="65"/>
        <v/>
      </c>
      <c r="DL44" s="74" t="str">
        <f t="shared" si="65"/>
        <v/>
      </c>
      <c r="DM44" s="74" t="str">
        <f t="shared" si="65"/>
        <v/>
      </c>
      <c r="DN44" s="74" t="str">
        <f t="shared" si="65"/>
        <v/>
      </c>
      <c r="DO44" s="78" t="str">
        <f t="shared" si="65"/>
        <v/>
      </c>
      <c r="DP44" s="78" t="str">
        <f t="shared" si="65"/>
        <v/>
      </c>
      <c r="DQ44" s="74" t="str">
        <f t="shared" si="65"/>
        <v/>
      </c>
      <c r="DR44" s="74" t="str">
        <f t="shared" si="65"/>
        <v/>
      </c>
      <c r="DS44" s="75">
        <f t="shared" si="65"/>
        <v>288</v>
      </c>
      <c r="DT44" s="75">
        <f t="shared" si="65"/>
        <v>288</v>
      </c>
      <c r="DU44" s="75">
        <f t="shared" si="66"/>
        <v>288</v>
      </c>
      <c r="DV44" s="75">
        <f t="shared" si="66"/>
        <v>288</v>
      </c>
      <c r="DW44" s="75">
        <f t="shared" si="66"/>
        <v>288</v>
      </c>
      <c r="DX44" s="75">
        <f t="shared" si="66"/>
        <v>288</v>
      </c>
      <c r="DY44" s="75">
        <f t="shared" si="66"/>
        <v>288</v>
      </c>
      <c r="DZ44" s="75">
        <f t="shared" si="66"/>
        <v>288</v>
      </c>
      <c r="EA44" s="75">
        <f t="shared" si="66"/>
        <v>288</v>
      </c>
      <c r="EB44" s="75">
        <f t="shared" si="66"/>
        <v>288</v>
      </c>
      <c r="EC44" s="75">
        <f t="shared" si="66"/>
        <v>288</v>
      </c>
      <c r="ED44" s="75">
        <f t="shared" si="66"/>
        <v>288</v>
      </c>
      <c r="EE44" s="75">
        <f t="shared" si="67"/>
        <v>288</v>
      </c>
      <c r="EF44" s="75">
        <f t="shared" si="67"/>
        <v>288</v>
      </c>
      <c r="EG44" s="75">
        <f t="shared" si="67"/>
        <v>288</v>
      </c>
      <c r="EH44" s="76">
        <f t="shared" si="67"/>
        <v>288</v>
      </c>
      <c r="EI44" s="76">
        <f t="shared" si="67"/>
        <v>288</v>
      </c>
      <c r="EJ44" s="76">
        <f t="shared" si="67"/>
        <v>288</v>
      </c>
      <c r="EK44" s="76">
        <f t="shared" si="67"/>
        <v>288</v>
      </c>
      <c r="EL44" s="76">
        <f t="shared" si="67"/>
        <v>288</v>
      </c>
      <c r="EM44" s="77">
        <f t="shared" si="67"/>
        <v>288</v>
      </c>
      <c r="EN44" s="77">
        <f t="shared" si="67"/>
        <v>288</v>
      </c>
      <c r="EO44" s="77">
        <f t="shared" si="68"/>
        <v>288</v>
      </c>
      <c r="EP44" s="74" t="str">
        <f t="shared" si="68"/>
        <v/>
      </c>
      <c r="EQ44" s="78" t="str">
        <f t="shared" si="68"/>
        <v/>
      </c>
      <c r="ER44" s="78" t="str">
        <f t="shared" si="68"/>
        <v/>
      </c>
      <c r="ES44" s="74" t="str">
        <f t="shared" si="68"/>
        <v/>
      </c>
      <c r="ET44" s="74" t="str">
        <f t="shared" si="68"/>
        <v/>
      </c>
      <c r="EU44" s="74" t="str">
        <f t="shared" si="68"/>
        <v/>
      </c>
      <c r="EV44" s="74" t="str">
        <f t="shared" si="68"/>
        <v/>
      </c>
      <c r="EW44" s="74" t="str">
        <f t="shared" si="68"/>
        <v/>
      </c>
      <c r="EX44" s="78" t="str">
        <f t="shared" si="68"/>
        <v/>
      </c>
      <c r="EY44" s="78" t="str">
        <f t="shared" si="69"/>
        <v/>
      </c>
      <c r="EZ44" s="74" t="str">
        <f t="shared" si="69"/>
        <v/>
      </c>
      <c r="FA44" s="74" t="str">
        <f t="shared" si="69"/>
        <v/>
      </c>
      <c r="FB44" s="74" t="str">
        <f t="shared" si="69"/>
        <v/>
      </c>
      <c r="FC44" s="74" t="str">
        <f t="shared" si="69"/>
        <v/>
      </c>
      <c r="FD44" s="74" t="str">
        <f t="shared" si="69"/>
        <v/>
      </c>
      <c r="FE44" s="78" t="str">
        <f t="shared" si="69"/>
        <v/>
      </c>
      <c r="FF44" s="78" t="str">
        <f t="shared" si="69"/>
        <v/>
      </c>
      <c r="FG44" s="74" t="str">
        <f t="shared" si="69"/>
        <v/>
      </c>
      <c r="FH44" s="74" t="str">
        <f t="shared" si="69"/>
        <v/>
      </c>
      <c r="FI44" s="74" t="str">
        <f t="shared" si="70"/>
        <v/>
      </c>
      <c r="FJ44" s="74" t="str">
        <f t="shared" si="70"/>
        <v/>
      </c>
      <c r="FK44" s="74" t="str">
        <f t="shared" si="70"/>
        <v/>
      </c>
      <c r="FL44" s="78" t="str">
        <f t="shared" si="70"/>
        <v/>
      </c>
      <c r="FM44" s="78" t="str">
        <f t="shared" si="70"/>
        <v/>
      </c>
      <c r="FN44" s="74" t="str">
        <f t="shared" si="70"/>
        <v/>
      </c>
      <c r="FO44" s="74" t="str">
        <f t="shared" si="70"/>
        <v/>
      </c>
      <c r="FP44" s="74" t="str">
        <f t="shared" si="70"/>
        <v/>
      </c>
      <c r="FQ44" s="74" t="str">
        <f t="shared" si="70"/>
        <v/>
      </c>
      <c r="FR44" s="74" t="str">
        <f t="shared" si="70"/>
        <v/>
      </c>
      <c r="FS44" s="78" t="str">
        <f t="shared" si="71"/>
        <v/>
      </c>
      <c r="FT44" s="78" t="str">
        <f t="shared" si="71"/>
        <v/>
      </c>
      <c r="FU44" s="74" t="str">
        <f t="shared" si="71"/>
        <v/>
      </c>
      <c r="FV44" s="74" t="str">
        <f t="shared" si="71"/>
        <v/>
      </c>
      <c r="FW44" s="74" t="str">
        <f t="shared" si="71"/>
        <v/>
      </c>
      <c r="FX44" s="74" t="str">
        <f t="shared" si="71"/>
        <v/>
      </c>
      <c r="FY44" s="74" t="str">
        <f t="shared" si="71"/>
        <v/>
      </c>
      <c r="FZ44" s="78" t="str">
        <f t="shared" si="71"/>
        <v/>
      </c>
      <c r="GA44" s="78" t="str">
        <f t="shared" si="71"/>
        <v/>
      </c>
      <c r="GB44" s="74" t="str">
        <f t="shared" si="71"/>
        <v/>
      </c>
      <c r="GC44" s="74" t="str">
        <f t="shared" si="72"/>
        <v/>
      </c>
      <c r="GD44" s="74" t="str">
        <f t="shared" si="72"/>
        <v/>
      </c>
      <c r="GE44" s="74" t="str">
        <f t="shared" si="72"/>
        <v/>
      </c>
      <c r="GF44" s="74" t="str">
        <f t="shared" si="72"/>
        <v/>
      </c>
      <c r="GG44" s="78" t="str">
        <f t="shared" si="72"/>
        <v/>
      </c>
      <c r="GH44" s="78" t="str">
        <f t="shared" si="72"/>
        <v/>
      </c>
      <c r="GI44" s="74" t="str">
        <f t="shared" si="72"/>
        <v/>
      </c>
      <c r="GJ44" s="74" t="str">
        <f t="shared" si="72"/>
        <v/>
      </c>
      <c r="GK44" s="74" t="str">
        <f t="shared" si="72"/>
        <v/>
      </c>
      <c r="GL44" s="74" t="str">
        <f t="shared" si="72"/>
        <v/>
      </c>
      <c r="GM44" s="74" t="str">
        <f t="shared" si="73"/>
        <v/>
      </c>
      <c r="GN44" s="78" t="str">
        <f t="shared" si="73"/>
        <v/>
      </c>
      <c r="GO44" s="78" t="str">
        <f t="shared" si="73"/>
        <v/>
      </c>
      <c r="GP44" s="74" t="str">
        <f t="shared" si="73"/>
        <v/>
      </c>
      <c r="GQ44" s="74" t="str">
        <f t="shared" si="73"/>
        <v/>
      </c>
      <c r="GR44" s="74" t="str">
        <f t="shared" si="73"/>
        <v/>
      </c>
      <c r="GS44" s="74" t="str">
        <f t="shared" si="73"/>
        <v/>
      </c>
      <c r="GT44" s="74" t="str">
        <f t="shared" si="73"/>
        <v/>
      </c>
      <c r="GU44" s="78" t="str">
        <f t="shared" si="73"/>
        <v/>
      </c>
      <c r="GV44" s="78" t="str">
        <f t="shared" si="73"/>
        <v/>
      </c>
      <c r="GW44" s="74" t="str">
        <f t="shared" si="74"/>
        <v/>
      </c>
      <c r="GX44" s="74" t="str">
        <f t="shared" si="74"/>
        <v/>
      </c>
      <c r="GY44" s="74" t="str">
        <f t="shared" si="74"/>
        <v/>
      </c>
      <c r="GZ44" s="74" t="str">
        <f t="shared" si="74"/>
        <v/>
      </c>
      <c r="HA44" s="74" t="str">
        <f t="shared" si="74"/>
        <v/>
      </c>
      <c r="HB44" s="78" t="str">
        <f t="shared" si="74"/>
        <v/>
      </c>
      <c r="HC44" s="78" t="str">
        <f t="shared" si="74"/>
        <v/>
      </c>
      <c r="HD44" s="74" t="str">
        <f t="shared" si="74"/>
        <v/>
      </c>
      <c r="HE44" s="74" t="str">
        <f t="shared" si="74"/>
        <v/>
      </c>
      <c r="HF44" s="74" t="str">
        <f t="shared" si="74"/>
        <v/>
      </c>
      <c r="HG44" s="74" t="str">
        <f t="shared" si="74"/>
        <v/>
      </c>
      <c r="HH44" s="74" t="str">
        <f t="shared" si="74"/>
        <v/>
      </c>
    </row>
    <row r="45" spans="1:216" x14ac:dyDescent="0.2">
      <c r="A45" s="82" t="str">
        <f>'FY1 Event Pipeline'!A14</f>
        <v>DAZ</v>
      </c>
      <c r="B45" s="83">
        <f>_xlfn.XLOOKUP(A45,'FY1 Event Pipeline'!$A$4:$A$15,'FY1 Event Pipeline'!$H$4:$H$15)</f>
        <v>46466</v>
      </c>
      <c r="C45" s="83">
        <f>_xlfn.XLOOKUP(A45,'FY1 Event Pipeline'!$A$4:$A$15,'FY1 Event Pipeline'!$J$4:$J$15)</f>
        <v>46496</v>
      </c>
      <c r="D45" s="84">
        <f>_xlfn.XLOOKUP(A45,'FY1 Event Pipeline'!$A$4:$A$15,'FY1 Event Pipeline'!$P$4:$P$15)</f>
        <v>775</v>
      </c>
      <c r="E45" s="74" t="str">
        <f t="shared" si="54"/>
        <v/>
      </c>
      <c r="F45" s="74" t="str">
        <f t="shared" si="54"/>
        <v/>
      </c>
      <c r="G45" s="78" t="str">
        <f t="shared" si="54"/>
        <v/>
      </c>
      <c r="H45" s="78" t="str">
        <f t="shared" si="54"/>
        <v/>
      </c>
      <c r="I45" s="74" t="str">
        <f t="shared" si="54"/>
        <v/>
      </c>
      <c r="J45" s="74" t="str">
        <f t="shared" si="54"/>
        <v/>
      </c>
      <c r="K45" s="74" t="str">
        <f t="shared" si="54"/>
        <v/>
      </c>
      <c r="L45" s="74" t="str">
        <f t="shared" si="54"/>
        <v/>
      </c>
      <c r="M45" s="74" t="str">
        <f t="shared" si="54"/>
        <v/>
      </c>
      <c r="N45" s="78" t="str">
        <f t="shared" si="54"/>
        <v/>
      </c>
      <c r="O45" s="78" t="str">
        <f t="shared" si="55"/>
        <v/>
      </c>
      <c r="P45" s="74" t="str">
        <f t="shared" si="55"/>
        <v/>
      </c>
      <c r="Q45" s="74" t="str">
        <f t="shared" si="55"/>
        <v/>
      </c>
      <c r="R45" s="74" t="str">
        <f t="shared" si="55"/>
        <v/>
      </c>
      <c r="S45" s="74" t="str">
        <f t="shared" si="55"/>
        <v/>
      </c>
      <c r="T45" s="74" t="str">
        <f t="shared" si="55"/>
        <v/>
      </c>
      <c r="U45" s="78" t="str">
        <f t="shared" si="55"/>
        <v/>
      </c>
      <c r="V45" s="78" t="str">
        <f t="shared" si="55"/>
        <v/>
      </c>
      <c r="W45" s="74" t="str">
        <f t="shared" si="55"/>
        <v/>
      </c>
      <c r="X45" s="74" t="str">
        <f t="shared" si="55"/>
        <v/>
      </c>
      <c r="Y45" s="74" t="str">
        <f t="shared" si="56"/>
        <v/>
      </c>
      <c r="Z45" s="74" t="str">
        <f t="shared" si="56"/>
        <v/>
      </c>
      <c r="AA45" s="74" t="str">
        <f t="shared" si="56"/>
        <v/>
      </c>
      <c r="AB45" s="78" t="str">
        <f t="shared" si="56"/>
        <v/>
      </c>
      <c r="AC45" s="78" t="str">
        <f t="shared" si="56"/>
        <v/>
      </c>
      <c r="AD45" s="74" t="str">
        <f t="shared" si="56"/>
        <v/>
      </c>
      <c r="AE45" s="74" t="str">
        <f t="shared" si="56"/>
        <v/>
      </c>
      <c r="AF45" s="74" t="str">
        <f t="shared" si="56"/>
        <v/>
      </c>
      <c r="AG45" s="74" t="str">
        <f t="shared" si="56"/>
        <v/>
      </c>
      <c r="AH45" s="74" t="str">
        <f t="shared" si="56"/>
        <v/>
      </c>
      <c r="AI45" s="78" t="str">
        <f t="shared" si="57"/>
        <v/>
      </c>
      <c r="AJ45" s="78" t="str">
        <f t="shared" si="57"/>
        <v/>
      </c>
      <c r="AK45" s="74" t="str">
        <f t="shared" si="57"/>
        <v/>
      </c>
      <c r="AL45" s="74" t="str">
        <f t="shared" si="57"/>
        <v/>
      </c>
      <c r="AM45" s="74" t="str">
        <f t="shared" si="57"/>
        <v/>
      </c>
      <c r="AN45" s="74" t="str">
        <f t="shared" si="57"/>
        <v/>
      </c>
      <c r="AO45" s="74" t="str">
        <f t="shared" si="57"/>
        <v/>
      </c>
      <c r="AP45" s="78" t="str">
        <f t="shared" si="57"/>
        <v/>
      </c>
      <c r="AQ45" s="78" t="str">
        <f t="shared" si="57"/>
        <v/>
      </c>
      <c r="AR45" s="74" t="str">
        <f t="shared" si="57"/>
        <v/>
      </c>
      <c r="AS45" s="74" t="str">
        <f t="shared" si="58"/>
        <v/>
      </c>
      <c r="AT45" s="74" t="str">
        <f t="shared" si="58"/>
        <v/>
      </c>
      <c r="AU45" s="74" t="str">
        <f t="shared" si="58"/>
        <v/>
      </c>
      <c r="AV45" s="74" t="str">
        <f t="shared" si="58"/>
        <v/>
      </c>
      <c r="AW45" s="78" t="str">
        <f t="shared" si="58"/>
        <v/>
      </c>
      <c r="AX45" s="78" t="str">
        <f t="shared" si="58"/>
        <v/>
      </c>
      <c r="AY45" s="74" t="str">
        <f t="shared" si="58"/>
        <v/>
      </c>
      <c r="AZ45" s="74" t="str">
        <f t="shared" si="58"/>
        <v/>
      </c>
      <c r="BA45" s="74" t="str">
        <f t="shared" si="58"/>
        <v/>
      </c>
      <c r="BB45" s="74" t="str">
        <f t="shared" si="58"/>
        <v/>
      </c>
      <c r="BC45" s="74" t="str">
        <f t="shared" si="59"/>
        <v/>
      </c>
      <c r="BD45" s="78" t="str">
        <f t="shared" si="59"/>
        <v/>
      </c>
      <c r="BE45" s="78" t="str">
        <f t="shared" si="59"/>
        <v/>
      </c>
      <c r="BF45" s="74" t="str">
        <f t="shared" si="59"/>
        <v/>
      </c>
      <c r="BG45" s="74" t="str">
        <f t="shared" si="59"/>
        <v/>
      </c>
      <c r="BH45" s="74" t="str">
        <f t="shared" si="59"/>
        <v/>
      </c>
      <c r="BI45" s="74" t="str">
        <f t="shared" si="59"/>
        <v/>
      </c>
      <c r="BJ45" s="74" t="str">
        <f t="shared" si="59"/>
        <v/>
      </c>
      <c r="BK45" s="78" t="str">
        <f t="shared" si="59"/>
        <v/>
      </c>
      <c r="BL45" s="78" t="str">
        <f t="shared" si="59"/>
        <v/>
      </c>
      <c r="BM45" s="74" t="str">
        <f t="shared" si="60"/>
        <v/>
      </c>
      <c r="BN45" s="74" t="str">
        <f t="shared" si="60"/>
        <v/>
      </c>
      <c r="BO45" s="74" t="str">
        <f t="shared" si="60"/>
        <v/>
      </c>
      <c r="BP45" s="74" t="str">
        <f t="shared" si="60"/>
        <v/>
      </c>
      <c r="BQ45" s="74" t="str">
        <f t="shared" si="60"/>
        <v/>
      </c>
      <c r="BR45" s="78" t="str">
        <f t="shared" si="60"/>
        <v/>
      </c>
      <c r="BS45" s="78" t="str">
        <f t="shared" si="60"/>
        <v/>
      </c>
      <c r="BT45" s="74" t="str">
        <f t="shared" si="60"/>
        <v/>
      </c>
      <c r="BU45" s="74" t="str">
        <f t="shared" si="60"/>
        <v/>
      </c>
      <c r="BV45" s="74" t="str">
        <f t="shared" si="60"/>
        <v/>
      </c>
      <c r="BW45" s="74" t="str">
        <f t="shared" si="61"/>
        <v/>
      </c>
      <c r="BX45" s="74" t="str">
        <f t="shared" si="61"/>
        <v/>
      </c>
      <c r="BY45" s="78" t="str">
        <f t="shared" si="61"/>
        <v/>
      </c>
      <c r="BZ45" s="78" t="str">
        <f t="shared" si="61"/>
        <v/>
      </c>
      <c r="CA45" s="74" t="str">
        <f t="shared" si="61"/>
        <v/>
      </c>
      <c r="CB45" s="74" t="str">
        <f t="shared" si="61"/>
        <v/>
      </c>
      <c r="CC45" s="74" t="str">
        <f t="shared" si="61"/>
        <v/>
      </c>
      <c r="CD45" s="74" t="str">
        <f t="shared" si="61"/>
        <v/>
      </c>
      <c r="CE45" s="74" t="str">
        <f t="shared" si="61"/>
        <v/>
      </c>
      <c r="CF45" s="78" t="str">
        <f t="shared" si="61"/>
        <v/>
      </c>
      <c r="CG45" s="78" t="str">
        <f t="shared" si="62"/>
        <v/>
      </c>
      <c r="CH45" s="74" t="str">
        <f t="shared" si="62"/>
        <v/>
      </c>
      <c r="CI45" s="74" t="str">
        <f t="shared" si="62"/>
        <v/>
      </c>
      <c r="CJ45" s="74" t="str">
        <f t="shared" si="62"/>
        <v/>
      </c>
      <c r="CK45" s="74" t="str">
        <f t="shared" si="62"/>
        <v/>
      </c>
      <c r="CL45" s="74" t="str">
        <f t="shared" si="62"/>
        <v/>
      </c>
      <c r="CM45" s="78" t="str">
        <f t="shared" si="62"/>
        <v/>
      </c>
      <c r="CN45" s="78" t="str">
        <f t="shared" si="62"/>
        <v/>
      </c>
      <c r="CO45" s="74" t="str">
        <f t="shared" si="62"/>
        <v/>
      </c>
      <c r="CP45" s="74" t="str">
        <f t="shared" si="62"/>
        <v/>
      </c>
      <c r="CQ45" s="74" t="str">
        <f t="shared" si="63"/>
        <v/>
      </c>
      <c r="CR45" s="74" t="str">
        <f t="shared" si="63"/>
        <v/>
      </c>
      <c r="CS45" s="74" t="str">
        <f t="shared" si="63"/>
        <v/>
      </c>
      <c r="CT45" s="78" t="str">
        <f t="shared" si="63"/>
        <v/>
      </c>
      <c r="CU45" s="78" t="str">
        <f t="shared" si="63"/>
        <v/>
      </c>
      <c r="CV45" s="74" t="str">
        <f t="shared" si="63"/>
        <v/>
      </c>
      <c r="CW45" s="74" t="str">
        <f t="shared" si="63"/>
        <v/>
      </c>
      <c r="CX45" s="74" t="str">
        <f t="shared" si="63"/>
        <v/>
      </c>
      <c r="CY45" s="74" t="str">
        <f t="shared" si="63"/>
        <v/>
      </c>
      <c r="CZ45" s="74" t="str">
        <f t="shared" si="63"/>
        <v/>
      </c>
      <c r="DA45" s="78" t="str">
        <f t="shared" si="64"/>
        <v/>
      </c>
      <c r="DB45" s="78" t="str">
        <f t="shared" si="64"/>
        <v/>
      </c>
      <c r="DC45" s="74" t="str">
        <f t="shared" si="64"/>
        <v/>
      </c>
      <c r="DD45" s="74" t="str">
        <f t="shared" si="64"/>
        <v/>
      </c>
      <c r="DE45" s="74" t="str">
        <f t="shared" si="64"/>
        <v/>
      </c>
      <c r="DF45" s="74" t="str">
        <f t="shared" si="64"/>
        <v/>
      </c>
      <c r="DG45" s="74" t="str">
        <f t="shared" si="64"/>
        <v/>
      </c>
      <c r="DH45" s="78" t="str">
        <f t="shared" si="64"/>
        <v/>
      </c>
      <c r="DI45" s="78" t="str">
        <f t="shared" si="64"/>
        <v/>
      </c>
      <c r="DJ45" s="74" t="str">
        <f t="shared" si="64"/>
        <v/>
      </c>
      <c r="DK45" s="74" t="str">
        <f t="shared" si="65"/>
        <v/>
      </c>
      <c r="DL45" s="74" t="str">
        <f t="shared" si="65"/>
        <v/>
      </c>
      <c r="DM45" s="74" t="str">
        <f t="shared" si="65"/>
        <v/>
      </c>
      <c r="DN45" s="74" t="str">
        <f t="shared" si="65"/>
        <v/>
      </c>
      <c r="DO45" s="78" t="str">
        <f t="shared" si="65"/>
        <v/>
      </c>
      <c r="DP45" s="78" t="str">
        <f t="shared" si="65"/>
        <v/>
      </c>
      <c r="DQ45" s="74" t="str">
        <f t="shared" si="65"/>
        <v/>
      </c>
      <c r="DR45" s="74" t="str">
        <f t="shared" si="65"/>
        <v/>
      </c>
      <c r="DS45" s="74" t="str">
        <f t="shared" si="65"/>
        <v/>
      </c>
      <c r="DT45" s="74" t="str">
        <f t="shared" si="65"/>
        <v/>
      </c>
      <c r="DU45" s="74" t="str">
        <f t="shared" si="66"/>
        <v/>
      </c>
      <c r="DV45" s="78" t="str">
        <f t="shared" si="66"/>
        <v/>
      </c>
      <c r="DW45" s="78" t="str">
        <f t="shared" si="66"/>
        <v/>
      </c>
      <c r="DX45" s="74" t="str">
        <f t="shared" si="66"/>
        <v/>
      </c>
      <c r="DY45" s="74" t="str">
        <f t="shared" si="66"/>
        <v/>
      </c>
      <c r="DZ45" s="74" t="str">
        <f t="shared" si="66"/>
        <v/>
      </c>
      <c r="EA45" s="74" t="str">
        <f t="shared" si="66"/>
        <v/>
      </c>
      <c r="EB45" s="74" t="str">
        <f t="shared" si="66"/>
        <v/>
      </c>
      <c r="EC45" s="78" t="str">
        <f t="shared" si="66"/>
        <v/>
      </c>
      <c r="ED45" s="78" t="str">
        <f t="shared" si="66"/>
        <v/>
      </c>
      <c r="EE45" s="74" t="str">
        <f t="shared" si="67"/>
        <v/>
      </c>
      <c r="EF45" s="74" t="str">
        <f t="shared" si="67"/>
        <v/>
      </c>
      <c r="EG45" s="74" t="str">
        <f t="shared" si="67"/>
        <v/>
      </c>
      <c r="EH45" s="74" t="str">
        <f t="shared" si="67"/>
        <v/>
      </c>
      <c r="EI45" s="74" t="str">
        <f t="shared" si="67"/>
        <v/>
      </c>
      <c r="EJ45" s="78" t="str">
        <f t="shared" si="67"/>
        <v/>
      </c>
      <c r="EK45" s="78" t="str">
        <f t="shared" si="67"/>
        <v/>
      </c>
      <c r="EL45" s="74" t="str">
        <f t="shared" si="67"/>
        <v/>
      </c>
      <c r="EM45" s="74" t="str">
        <f t="shared" si="67"/>
        <v/>
      </c>
      <c r="EN45" s="74" t="str">
        <f t="shared" si="67"/>
        <v/>
      </c>
      <c r="EO45" s="74" t="str">
        <f t="shared" si="68"/>
        <v/>
      </c>
      <c r="EP45" s="74" t="str">
        <f t="shared" si="68"/>
        <v/>
      </c>
      <c r="EQ45" s="78" t="str">
        <f t="shared" si="68"/>
        <v/>
      </c>
      <c r="ER45" s="78" t="str">
        <f t="shared" si="68"/>
        <v/>
      </c>
      <c r="ES45" s="74" t="str">
        <f t="shared" si="68"/>
        <v/>
      </c>
      <c r="ET45" s="74" t="str">
        <f t="shared" si="68"/>
        <v/>
      </c>
      <c r="EU45" s="74" t="str">
        <f t="shared" si="68"/>
        <v/>
      </c>
      <c r="EV45" s="74" t="str">
        <f t="shared" si="68"/>
        <v/>
      </c>
      <c r="EW45" s="74" t="str">
        <f t="shared" si="68"/>
        <v/>
      </c>
      <c r="EX45" s="78" t="str">
        <f t="shared" si="68"/>
        <v/>
      </c>
      <c r="EY45" s="78" t="str">
        <f t="shared" si="69"/>
        <v/>
      </c>
      <c r="EZ45" s="74" t="str">
        <f t="shared" si="69"/>
        <v/>
      </c>
      <c r="FA45" s="74" t="str">
        <f t="shared" si="69"/>
        <v/>
      </c>
      <c r="FB45" s="74" t="str">
        <f t="shared" si="69"/>
        <v/>
      </c>
      <c r="FC45" s="74" t="str">
        <f t="shared" si="69"/>
        <v/>
      </c>
      <c r="FD45" s="74" t="str">
        <f t="shared" si="69"/>
        <v/>
      </c>
      <c r="FE45" s="78" t="str">
        <f t="shared" si="69"/>
        <v/>
      </c>
      <c r="FF45" s="78" t="str">
        <f t="shared" si="69"/>
        <v/>
      </c>
      <c r="FG45" s="74" t="str">
        <f t="shared" si="69"/>
        <v/>
      </c>
      <c r="FH45" s="74" t="str">
        <f t="shared" si="69"/>
        <v/>
      </c>
      <c r="FI45" s="74" t="str">
        <f t="shared" si="70"/>
        <v/>
      </c>
      <c r="FJ45" s="74" t="str">
        <f t="shared" si="70"/>
        <v/>
      </c>
      <c r="FK45" s="74" t="str">
        <f t="shared" si="70"/>
        <v/>
      </c>
      <c r="FL45" s="78" t="str">
        <f t="shared" si="70"/>
        <v/>
      </c>
      <c r="FM45" s="78" t="str">
        <f t="shared" si="70"/>
        <v/>
      </c>
      <c r="FN45" s="74" t="str">
        <f t="shared" si="70"/>
        <v/>
      </c>
      <c r="FO45" s="74" t="str">
        <f t="shared" si="70"/>
        <v/>
      </c>
      <c r="FP45" s="74" t="str">
        <f t="shared" si="70"/>
        <v/>
      </c>
      <c r="FQ45" s="74" t="str">
        <f t="shared" si="70"/>
        <v/>
      </c>
      <c r="FR45" s="74" t="str">
        <f t="shared" si="70"/>
        <v/>
      </c>
      <c r="FS45" s="75">
        <f t="shared" si="71"/>
        <v>775</v>
      </c>
      <c r="FT45" s="75">
        <f t="shared" si="71"/>
        <v>775</v>
      </c>
      <c r="FU45" s="75">
        <f t="shared" si="71"/>
        <v>775</v>
      </c>
      <c r="FV45" s="75">
        <f t="shared" si="71"/>
        <v>775</v>
      </c>
      <c r="FW45" s="75">
        <f t="shared" si="71"/>
        <v>775</v>
      </c>
      <c r="FX45" s="75">
        <f t="shared" si="71"/>
        <v>775</v>
      </c>
      <c r="FY45" s="75">
        <f t="shared" si="71"/>
        <v>775</v>
      </c>
      <c r="FZ45" s="75">
        <f t="shared" si="71"/>
        <v>775</v>
      </c>
      <c r="GA45" s="75">
        <f t="shared" si="71"/>
        <v>775</v>
      </c>
      <c r="GB45" s="75">
        <f t="shared" si="71"/>
        <v>775</v>
      </c>
      <c r="GC45" s="75">
        <f t="shared" si="72"/>
        <v>775</v>
      </c>
      <c r="GD45" s="75">
        <f t="shared" si="72"/>
        <v>775</v>
      </c>
      <c r="GE45" s="75">
        <f t="shared" si="72"/>
        <v>775</v>
      </c>
      <c r="GF45" s="75">
        <f t="shared" si="72"/>
        <v>775</v>
      </c>
      <c r="GG45" s="76">
        <f t="shared" si="72"/>
        <v>775</v>
      </c>
      <c r="GH45" s="76">
        <f t="shared" si="72"/>
        <v>775</v>
      </c>
      <c r="GI45" s="76">
        <f t="shared" si="72"/>
        <v>775</v>
      </c>
      <c r="GJ45" s="76">
        <f t="shared" si="72"/>
        <v>775</v>
      </c>
      <c r="GK45" s="76">
        <f t="shared" si="72"/>
        <v>775</v>
      </c>
      <c r="GL45" s="76">
        <f t="shared" si="72"/>
        <v>775</v>
      </c>
      <c r="GM45" s="76">
        <f t="shared" si="73"/>
        <v>775</v>
      </c>
      <c r="GN45" s="76">
        <f t="shared" si="73"/>
        <v>775</v>
      </c>
      <c r="GO45" s="76">
        <f t="shared" si="73"/>
        <v>775</v>
      </c>
      <c r="GP45" s="76">
        <f t="shared" si="73"/>
        <v>775</v>
      </c>
      <c r="GQ45" s="77">
        <f t="shared" si="73"/>
        <v>775</v>
      </c>
      <c r="GR45" s="77">
        <f t="shared" si="73"/>
        <v>775</v>
      </c>
      <c r="GS45" s="77">
        <f t="shared" si="73"/>
        <v>775</v>
      </c>
      <c r="GT45" s="77">
        <f t="shared" si="73"/>
        <v>775</v>
      </c>
      <c r="GU45" s="77">
        <f t="shared" si="73"/>
        <v>775</v>
      </c>
      <c r="GV45" s="77">
        <f t="shared" si="73"/>
        <v>775</v>
      </c>
      <c r="GW45" s="77">
        <f t="shared" si="74"/>
        <v>775</v>
      </c>
      <c r="GX45" s="74" t="str">
        <f t="shared" si="74"/>
        <v/>
      </c>
      <c r="GY45" s="74" t="str">
        <f t="shared" si="74"/>
        <v/>
      </c>
      <c r="GZ45" s="74" t="str">
        <f t="shared" si="74"/>
        <v/>
      </c>
      <c r="HA45" s="74" t="str">
        <f t="shared" si="74"/>
        <v/>
      </c>
      <c r="HB45" s="78" t="str">
        <f t="shared" si="74"/>
        <v/>
      </c>
      <c r="HC45" s="78" t="str">
        <f t="shared" si="74"/>
        <v/>
      </c>
      <c r="HD45" s="74" t="str">
        <f t="shared" si="74"/>
        <v/>
      </c>
      <c r="HE45" s="74" t="str">
        <f t="shared" si="74"/>
        <v/>
      </c>
      <c r="HF45" s="74" t="str">
        <f t="shared" si="74"/>
        <v/>
      </c>
      <c r="HG45" s="74" t="str">
        <f t="shared" si="74"/>
        <v/>
      </c>
      <c r="HH45" s="74" t="str">
        <f t="shared" si="74"/>
        <v/>
      </c>
    </row>
    <row r="46" spans="1:216" x14ac:dyDescent="0.2">
      <c r="A46" s="82" t="str">
        <f>'FY1 Event Pipeline'!A15</f>
        <v>BRED</v>
      </c>
      <c r="B46" s="83">
        <f>_xlfn.XLOOKUP(A46,'FY1 Event Pipeline'!$A$4:$A$15,'FY1 Event Pipeline'!$H$4:$H$15)</f>
        <v>46492</v>
      </c>
      <c r="C46" s="83">
        <f>_xlfn.XLOOKUP(A46,'FY1 Event Pipeline'!$A$4:$A$15,'FY1 Event Pipeline'!$J$4:$J$15)</f>
        <v>46506</v>
      </c>
      <c r="D46" s="84">
        <f>_xlfn.XLOOKUP(A46,'FY1 Event Pipeline'!$A$4:$A$15,'FY1 Event Pipeline'!$P$4:$P$15)</f>
        <v>1500</v>
      </c>
      <c r="E46" s="74" t="str">
        <f t="shared" si="54"/>
        <v/>
      </c>
      <c r="F46" s="74" t="str">
        <f t="shared" si="54"/>
        <v/>
      </c>
      <c r="G46" s="78" t="str">
        <f t="shared" si="54"/>
        <v/>
      </c>
      <c r="H46" s="78" t="str">
        <f t="shared" si="54"/>
        <v/>
      </c>
      <c r="I46" s="74" t="str">
        <f t="shared" si="54"/>
        <v/>
      </c>
      <c r="J46" s="74" t="str">
        <f t="shared" si="54"/>
        <v/>
      </c>
      <c r="K46" s="74" t="str">
        <f t="shared" si="54"/>
        <v/>
      </c>
      <c r="L46" s="74" t="str">
        <f t="shared" si="54"/>
        <v/>
      </c>
      <c r="M46" s="74" t="str">
        <f t="shared" si="54"/>
        <v/>
      </c>
      <c r="N46" s="78" t="str">
        <f t="shared" si="54"/>
        <v/>
      </c>
      <c r="O46" s="78" t="str">
        <f t="shared" si="55"/>
        <v/>
      </c>
      <c r="P46" s="74" t="str">
        <f t="shared" si="55"/>
        <v/>
      </c>
      <c r="Q46" s="74" t="str">
        <f t="shared" si="55"/>
        <v/>
      </c>
      <c r="R46" s="74" t="str">
        <f t="shared" si="55"/>
        <v/>
      </c>
      <c r="S46" s="74" t="str">
        <f t="shared" si="55"/>
        <v/>
      </c>
      <c r="T46" s="74" t="str">
        <f t="shared" si="55"/>
        <v/>
      </c>
      <c r="U46" s="78" t="str">
        <f t="shared" si="55"/>
        <v/>
      </c>
      <c r="V46" s="78" t="str">
        <f t="shared" si="55"/>
        <v/>
      </c>
      <c r="W46" s="74" t="str">
        <f t="shared" si="55"/>
        <v/>
      </c>
      <c r="X46" s="74" t="str">
        <f t="shared" si="55"/>
        <v/>
      </c>
      <c r="Y46" s="74" t="str">
        <f t="shared" si="56"/>
        <v/>
      </c>
      <c r="Z46" s="74" t="str">
        <f t="shared" si="56"/>
        <v/>
      </c>
      <c r="AA46" s="74" t="str">
        <f t="shared" si="56"/>
        <v/>
      </c>
      <c r="AB46" s="78" t="str">
        <f t="shared" si="56"/>
        <v/>
      </c>
      <c r="AC46" s="78" t="str">
        <f t="shared" si="56"/>
        <v/>
      </c>
      <c r="AD46" s="74" t="str">
        <f t="shared" si="56"/>
        <v/>
      </c>
      <c r="AE46" s="74" t="str">
        <f t="shared" si="56"/>
        <v/>
      </c>
      <c r="AF46" s="74" t="str">
        <f t="shared" si="56"/>
        <v/>
      </c>
      <c r="AG46" s="74" t="str">
        <f t="shared" si="56"/>
        <v/>
      </c>
      <c r="AH46" s="74" t="str">
        <f t="shared" si="56"/>
        <v/>
      </c>
      <c r="AI46" s="78" t="str">
        <f t="shared" si="57"/>
        <v/>
      </c>
      <c r="AJ46" s="78" t="str">
        <f t="shared" si="57"/>
        <v/>
      </c>
      <c r="AK46" s="74" t="str">
        <f t="shared" si="57"/>
        <v/>
      </c>
      <c r="AL46" s="74" t="str">
        <f t="shared" si="57"/>
        <v/>
      </c>
      <c r="AM46" s="74" t="str">
        <f t="shared" si="57"/>
        <v/>
      </c>
      <c r="AN46" s="74" t="str">
        <f t="shared" si="57"/>
        <v/>
      </c>
      <c r="AO46" s="74" t="str">
        <f t="shared" si="57"/>
        <v/>
      </c>
      <c r="AP46" s="78" t="str">
        <f t="shared" si="57"/>
        <v/>
      </c>
      <c r="AQ46" s="78" t="str">
        <f t="shared" si="57"/>
        <v/>
      </c>
      <c r="AR46" s="74" t="str">
        <f t="shared" si="57"/>
        <v/>
      </c>
      <c r="AS46" s="74" t="str">
        <f t="shared" si="58"/>
        <v/>
      </c>
      <c r="AT46" s="74" t="str">
        <f t="shared" si="58"/>
        <v/>
      </c>
      <c r="AU46" s="74" t="str">
        <f t="shared" si="58"/>
        <v/>
      </c>
      <c r="AV46" s="74" t="str">
        <f t="shared" si="58"/>
        <v/>
      </c>
      <c r="AW46" s="78" t="str">
        <f t="shared" si="58"/>
        <v/>
      </c>
      <c r="AX46" s="78" t="str">
        <f t="shared" si="58"/>
        <v/>
      </c>
      <c r="AY46" s="74" t="str">
        <f t="shared" si="58"/>
        <v/>
      </c>
      <c r="AZ46" s="74" t="str">
        <f t="shared" si="58"/>
        <v/>
      </c>
      <c r="BA46" s="74" t="str">
        <f t="shared" si="58"/>
        <v/>
      </c>
      <c r="BB46" s="74" t="str">
        <f t="shared" si="58"/>
        <v/>
      </c>
      <c r="BC46" s="74" t="str">
        <f t="shared" si="59"/>
        <v/>
      </c>
      <c r="BD46" s="78" t="str">
        <f t="shared" si="59"/>
        <v/>
      </c>
      <c r="BE46" s="78" t="str">
        <f t="shared" si="59"/>
        <v/>
      </c>
      <c r="BF46" s="74" t="str">
        <f t="shared" si="59"/>
        <v/>
      </c>
      <c r="BG46" s="74" t="str">
        <f t="shared" si="59"/>
        <v/>
      </c>
      <c r="BH46" s="74" t="str">
        <f t="shared" si="59"/>
        <v/>
      </c>
      <c r="BI46" s="74" t="str">
        <f t="shared" si="59"/>
        <v/>
      </c>
      <c r="BJ46" s="74" t="str">
        <f t="shared" si="59"/>
        <v/>
      </c>
      <c r="BK46" s="78" t="str">
        <f t="shared" si="59"/>
        <v/>
      </c>
      <c r="BL46" s="78" t="str">
        <f t="shared" si="59"/>
        <v/>
      </c>
      <c r="BM46" s="74" t="str">
        <f t="shared" si="60"/>
        <v/>
      </c>
      <c r="BN46" s="74" t="str">
        <f t="shared" si="60"/>
        <v/>
      </c>
      <c r="BO46" s="74" t="str">
        <f t="shared" si="60"/>
        <v/>
      </c>
      <c r="BP46" s="74" t="str">
        <f t="shared" si="60"/>
        <v/>
      </c>
      <c r="BQ46" s="74" t="str">
        <f t="shared" si="60"/>
        <v/>
      </c>
      <c r="BR46" s="78" t="str">
        <f t="shared" si="60"/>
        <v/>
      </c>
      <c r="BS46" s="78" t="str">
        <f t="shared" si="60"/>
        <v/>
      </c>
      <c r="BT46" s="74" t="str">
        <f t="shared" si="60"/>
        <v/>
      </c>
      <c r="BU46" s="74" t="str">
        <f t="shared" si="60"/>
        <v/>
      </c>
      <c r="BV46" s="74" t="str">
        <f t="shared" si="60"/>
        <v/>
      </c>
      <c r="BW46" s="74" t="str">
        <f t="shared" si="61"/>
        <v/>
      </c>
      <c r="BX46" s="74" t="str">
        <f t="shared" si="61"/>
        <v/>
      </c>
      <c r="BY46" s="78" t="str">
        <f t="shared" si="61"/>
        <v/>
      </c>
      <c r="BZ46" s="78" t="str">
        <f t="shared" si="61"/>
        <v/>
      </c>
      <c r="CA46" s="74" t="str">
        <f t="shared" si="61"/>
        <v/>
      </c>
      <c r="CB46" s="74" t="str">
        <f t="shared" si="61"/>
        <v/>
      </c>
      <c r="CC46" s="74" t="str">
        <f t="shared" si="61"/>
        <v/>
      </c>
      <c r="CD46" s="74" t="str">
        <f t="shared" si="61"/>
        <v/>
      </c>
      <c r="CE46" s="74" t="str">
        <f t="shared" si="61"/>
        <v/>
      </c>
      <c r="CF46" s="78" t="str">
        <f t="shared" si="61"/>
        <v/>
      </c>
      <c r="CG46" s="78" t="str">
        <f t="shared" si="62"/>
        <v/>
      </c>
      <c r="CH46" s="74" t="str">
        <f t="shared" si="62"/>
        <v/>
      </c>
      <c r="CI46" s="74" t="str">
        <f t="shared" si="62"/>
        <v/>
      </c>
      <c r="CJ46" s="74" t="str">
        <f t="shared" si="62"/>
        <v/>
      </c>
      <c r="CK46" s="74" t="str">
        <f t="shared" si="62"/>
        <v/>
      </c>
      <c r="CL46" s="74" t="str">
        <f t="shared" si="62"/>
        <v/>
      </c>
      <c r="CM46" s="78" t="str">
        <f t="shared" si="62"/>
        <v/>
      </c>
      <c r="CN46" s="78" t="str">
        <f t="shared" si="62"/>
        <v/>
      </c>
      <c r="CO46" s="74" t="str">
        <f t="shared" si="62"/>
        <v/>
      </c>
      <c r="CP46" s="74" t="str">
        <f t="shared" si="62"/>
        <v/>
      </c>
      <c r="CQ46" s="74" t="str">
        <f t="shared" si="63"/>
        <v/>
      </c>
      <c r="CR46" s="74" t="str">
        <f t="shared" si="63"/>
        <v/>
      </c>
      <c r="CS46" s="74" t="str">
        <f t="shared" si="63"/>
        <v/>
      </c>
      <c r="CT46" s="78" t="str">
        <f t="shared" si="63"/>
        <v/>
      </c>
      <c r="CU46" s="78" t="str">
        <f t="shared" si="63"/>
        <v/>
      </c>
      <c r="CV46" s="74" t="str">
        <f t="shared" si="63"/>
        <v/>
      </c>
      <c r="CW46" s="74" t="str">
        <f t="shared" si="63"/>
        <v/>
      </c>
      <c r="CX46" s="74" t="str">
        <f t="shared" si="63"/>
        <v/>
      </c>
      <c r="CY46" s="74" t="str">
        <f t="shared" si="63"/>
        <v/>
      </c>
      <c r="CZ46" s="74" t="str">
        <f t="shared" si="63"/>
        <v/>
      </c>
      <c r="DA46" s="78" t="str">
        <f t="shared" si="64"/>
        <v/>
      </c>
      <c r="DB46" s="78" t="str">
        <f t="shared" si="64"/>
        <v/>
      </c>
      <c r="DC46" s="74" t="str">
        <f t="shared" si="64"/>
        <v/>
      </c>
      <c r="DD46" s="74" t="str">
        <f t="shared" si="64"/>
        <v/>
      </c>
      <c r="DE46" s="74" t="str">
        <f t="shared" si="64"/>
        <v/>
      </c>
      <c r="DF46" s="74" t="str">
        <f t="shared" si="64"/>
        <v/>
      </c>
      <c r="DG46" s="74" t="str">
        <f t="shared" si="64"/>
        <v/>
      </c>
      <c r="DH46" s="78" t="str">
        <f t="shared" si="64"/>
        <v/>
      </c>
      <c r="DI46" s="78" t="str">
        <f t="shared" si="64"/>
        <v/>
      </c>
      <c r="DJ46" s="74" t="str">
        <f t="shared" si="64"/>
        <v/>
      </c>
      <c r="DK46" s="74" t="str">
        <f t="shared" si="65"/>
        <v/>
      </c>
      <c r="DL46" s="74" t="str">
        <f t="shared" si="65"/>
        <v/>
      </c>
      <c r="DM46" s="74" t="str">
        <f t="shared" si="65"/>
        <v/>
      </c>
      <c r="DN46" s="74" t="str">
        <f t="shared" si="65"/>
        <v/>
      </c>
      <c r="DO46" s="78" t="str">
        <f t="shared" si="65"/>
        <v/>
      </c>
      <c r="DP46" s="78" t="str">
        <f t="shared" si="65"/>
        <v/>
      </c>
      <c r="DQ46" s="74" t="str">
        <f t="shared" si="65"/>
        <v/>
      </c>
      <c r="DR46" s="74" t="str">
        <f t="shared" si="65"/>
        <v/>
      </c>
      <c r="DS46" s="74" t="str">
        <f t="shared" si="65"/>
        <v/>
      </c>
      <c r="DT46" s="74" t="str">
        <f t="shared" si="65"/>
        <v/>
      </c>
      <c r="DU46" s="74" t="str">
        <f t="shared" si="66"/>
        <v/>
      </c>
      <c r="DV46" s="78" t="str">
        <f t="shared" si="66"/>
        <v/>
      </c>
      <c r="DW46" s="78" t="str">
        <f t="shared" si="66"/>
        <v/>
      </c>
      <c r="DX46" s="74" t="str">
        <f t="shared" si="66"/>
        <v/>
      </c>
      <c r="DY46" s="74" t="str">
        <f t="shared" si="66"/>
        <v/>
      </c>
      <c r="DZ46" s="74" t="str">
        <f t="shared" si="66"/>
        <v/>
      </c>
      <c r="EA46" s="74" t="str">
        <f t="shared" si="66"/>
        <v/>
      </c>
      <c r="EB46" s="74" t="str">
        <f t="shared" si="66"/>
        <v/>
      </c>
      <c r="EC46" s="78" t="str">
        <f t="shared" si="66"/>
        <v/>
      </c>
      <c r="ED46" s="78" t="str">
        <f t="shared" si="66"/>
        <v/>
      </c>
      <c r="EE46" s="74" t="str">
        <f t="shared" si="67"/>
        <v/>
      </c>
      <c r="EF46" s="74" t="str">
        <f t="shared" si="67"/>
        <v/>
      </c>
      <c r="EG46" s="74" t="str">
        <f t="shared" si="67"/>
        <v/>
      </c>
      <c r="EH46" s="74" t="str">
        <f t="shared" si="67"/>
        <v/>
      </c>
      <c r="EI46" s="74" t="str">
        <f t="shared" si="67"/>
        <v/>
      </c>
      <c r="EJ46" s="78" t="str">
        <f t="shared" si="67"/>
        <v/>
      </c>
      <c r="EK46" s="78" t="str">
        <f t="shared" si="67"/>
        <v/>
      </c>
      <c r="EL46" s="74" t="str">
        <f t="shared" si="67"/>
        <v/>
      </c>
      <c r="EM46" s="74" t="str">
        <f t="shared" si="67"/>
        <v/>
      </c>
      <c r="EN46" s="74" t="str">
        <f t="shared" si="67"/>
        <v/>
      </c>
      <c r="EO46" s="74" t="str">
        <f t="shared" si="68"/>
        <v/>
      </c>
      <c r="EP46" s="74" t="str">
        <f t="shared" si="68"/>
        <v/>
      </c>
      <c r="EQ46" s="78" t="str">
        <f t="shared" si="68"/>
        <v/>
      </c>
      <c r="ER46" s="78" t="str">
        <f t="shared" si="68"/>
        <v/>
      </c>
      <c r="ES46" s="74" t="str">
        <f t="shared" si="68"/>
        <v/>
      </c>
      <c r="ET46" s="74" t="str">
        <f t="shared" si="68"/>
        <v/>
      </c>
      <c r="EU46" s="74" t="str">
        <f t="shared" si="68"/>
        <v/>
      </c>
      <c r="EV46" s="74" t="str">
        <f t="shared" si="68"/>
        <v/>
      </c>
      <c r="EW46" s="74" t="str">
        <f t="shared" si="68"/>
        <v/>
      </c>
      <c r="EX46" s="78" t="str">
        <f t="shared" si="68"/>
        <v/>
      </c>
      <c r="EY46" s="78" t="str">
        <f t="shared" si="69"/>
        <v/>
      </c>
      <c r="EZ46" s="74" t="str">
        <f t="shared" si="69"/>
        <v/>
      </c>
      <c r="FA46" s="74" t="str">
        <f t="shared" si="69"/>
        <v/>
      </c>
      <c r="FB46" s="74" t="str">
        <f t="shared" si="69"/>
        <v/>
      </c>
      <c r="FC46" s="74" t="str">
        <f t="shared" si="69"/>
        <v/>
      </c>
      <c r="FD46" s="74" t="str">
        <f t="shared" si="69"/>
        <v/>
      </c>
      <c r="FE46" s="78" t="str">
        <f t="shared" si="69"/>
        <v/>
      </c>
      <c r="FF46" s="78" t="str">
        <f t="shared" si="69"/>
        <v/>
      </c>
      <c r="FG46" s="74" t="str">
        <f t="shared" si="69"/>
        <v/>
      </c>
      <c r="FH46" s="74" t="str">
        <f t="shared" si="69"/>
        <v/>
      </c>
      <c r="FI46" s="74" t="str">
        <f t="shared" si="70"/>
        <v/>
      </c>
      <c r="FJ46" s="74" t="str">
        <f t="shared" si="70"/>
        <v/>
      </c>
      <c r="FK46" s="74" t="str">
        <f t="shared" si="70"/>
        <v/>
      </c>
      <c r="FL46" s="78" t="str">
        <f t="shared" si="70"/>
        <v/>
      </c>
      <c r="FM46" s="78" t="str">
        <f t="shared" si="70"/>
        <v/>
      </c>
      <c r="FN46" s="74" t="str">
        <f t="shared" si="70"/>
        <v/>
      </c>
      <c r="FO46" s="74" t="str">
        <f t="shared" si="70"/>
        <v/>
      </c>
      <c r="FP46" s="74" t="str">
        <f t="shared" si="70"/>
        <v/>
      </c>
      <c r="FQ46" s="74" t="str">
        <f t="shared" si="70"/>
        <v/>
      </c>
      <c r="FR46" s="74" t="str">
        <f t="shared" si="70"/>
        <v/>
      </c>
      <c r="FS46" s="78" t="str">
        <f t="shared" si="71"/>
        <v/>
      </c>
      <c r="FT46" s="78" t="str">
        <f t="shared" si="71"/>
        <v/>
      </c>
      <c r="FU46" s="74" t="str">
        <f t="shared" si="71"/>
        <v/>
      </c>
      <c r="FV46" s="74" t="str">
        <f t="shared" si="71"/>
        <v/>
      </c>
      <c r="FW46" s="74" t="str">
        <f t="shared" si="71"/>
        <v/>
      </c>
      <c r="FX46" s="74" t="str">
        <f t="shared" si="71"/>
        <v/>
      </c>
      <c r="FY46" s="74" t="str">
        <f t="shared" si="71"/>
        <v/>
      </c>
      <c r="FZ46" s="78" t="str">
        <f t="shared" si="71"/>
        <v/>
      </c>
      <c r="GA46" s="78" t="str">
        <f t="shared" si="71"/>
        <v/>
      </c>
      <c r="GB46" s="74" t="str">
        <f t="shared" si="71"/>
        <v/>
      </c>
      <c r="GC46" s="74" t="str">
        <f t="shared" si="72"/>
        <v/>
      </c>
      <c r="GD46" s="74" t="str">
        <f t="shared" si="72"/>
        <v/>
      </c>
      <c r="GE46" s="74" t="str">
        <f t="shared" si="72"/>
        <v/>
      </c>
      <c r="GF46" s="74" t="str">
        <f t="shared" si="72"/>
        <v/>
      </c>
      <c r="GG46" s="78" t="str">
        <f t="shared" si="72"/>
        <v/>
      </c>
      <c r="GH46" s="78" t="str">
        <f t="shared" si="72"/>
        <v/>
      </c>
      <c r="GI46" s="74" t="str">
        <f t="shared" si="72"/>
        <v/>
      </c>
      <c r="GJ46" s="74" t="str">
        <f t="shared" si="72"/>
        <v/>
      </c>
      <c r="GK46" s="74" t="str">
        <f t="shared" si="72"/>
        <v/>
      </c>
      <c r="GL46" s="74" t="str">
        <f t="shared" si="72"/>
        <v/>
      </c>
      <c r="GM46" s="74" t="str">
        <f t="shared" si="73"/>
        <v/>
      </c>
      <c r="GN46" s="78" t="str">
        <f t="shared" si="73"/>
        <v/>
      </c>
      <c r="GO46" s="78" t="str">
        <f t="shared" si="73"/>
        <v/>
      </c>
      <c r="GP46" s="74" t="str">
        <f t="shared" si="73"/>
        <v/>
      </c>
      <c r="GQ46" s="74" t="str">
        <f t="shared" si="73"/>
        <v/>
      </c>
      <c r="GR46" s="74" t="str">
        <f t="shared" si="73"/>
        <v/>
      </c>
      <c r="GS46" s="75">
        <f t="shared" si="73"/>
        <v>1500</v>
      </c>
      <c r="GT46" s="75">
        <f t="shared" si="73"/>
        <v>1500</v>
      </c>
      <c r="GU46" s="75">
        <f t="shared" si="73"/>
        <v>1500</v>
      </c>
      <c r="GV46" s="75">
        <f t="shared" si="73"/>
        <v>1500</v>
      </c>
      <c r="GW46" s="75">
        <f t="shared" si="74"/>
        <v>1500</v>
      </c>
      <c r="GX46" s="75">
        <f t="shared" si="74"/>
        <v>1500</v>
      </c>
      <c r="GY46" s="75">
        <f t="shared" si="74"/>
        <v>1500</v>
      </c>
      <c r="GZ46" s="76">
        <f t="shared" si="74"/>
        <v>1500</v>
      </c>
      <c r="HA46" s="76">
        <f t="shared" si="74"/>
        <v>1500</v>
      </c>
      <c r="HB46" s="76">
        <f t="shared" si="74"/>
        <v>1500</v>
      </c>
      <c r="HC46" s="76">
        <f t="shared" si="74"/>
        <v>1500</v>
      </c>
      <c r="HD46" s="76">
        <f t="shared" si="74"/>
        <v>1500</v>
      </c>
      <c r="HE46" s="77">
        <f t="shared" si="74"/>
        <v>1500</v>
      </c>
      <c r="HF46" s="77">
        <f t="shared" si="74"/>
        <v>1500</v>
      </c>
      <c r="HG46" s="77">
        <f t="shared" si="74"/>
        <v>1500</v>
      </c>
      <c r="HH46" s="74" t="str">
        <f t="shared" si="74"/>
        <v/>
      </c>
    </row>
    <row r="47" spans="1:216" x14ac:dyDescent="0.2">
      <c r="A47" s="79" t="s">
        <v>251</v>
      </c>
      <c r="B47" s="79"/>
      <c r="C47" s="79"/>
      <c r="D47" s="80">
        <f>MAX(F47:HH47)</f>
        <v>2944</v>
      </c>
      <c r="E47" s="81">
        <f t="shared" ref="E47:BP47" si="75">SUM(E35:E46)</f>
        <v>0</v>
      </c>
      <c r="F47" s="81">
        <f t="shared" si="75"/>
        <v>0</v>
      </c>
      <c r="G47" s="81">
        <f t="shared" si="75"/>
        <v>0</v>
      </c>
      <c r="H47" s="81">
        <f t="shared" si="75"/>
        <v>0</v>
      </c>
      <c r="I47" s="81">
        <f t="shared" si="75"/>
        <v>0</v>
      </c>
      <c r="J47" s="81">
        <f t="shared" si="75"/>
        <v>0</v>
      </c>
      <c r="K47" s="81">
        <f t="shared" si="75"/>
        <v>0</v>
      </c>
      <c r="L47" s="81">
        <f t="shared" si="75"/>
        <v>0</v>
      </c>
      <c r="M47" s="81">
        <f t="shared" si="75"/>
        <v>0</v>
      </c>
      <c r="N47" s="81">
        <f t="shared" si="75"/>
        <v>0</v>
      </c>
      <c r="O47" s="81">
        <f t="shared" si="75"/>
        <v>0</v>
      </c>
      <c r="P47" s="81">
        <f t="shared" si="75"/>
        <v>0</v>
      </c>
      <c r="Q47" s="81">
        <f t="shared" si="75"/>
        <v>0</v>
      </c>
      <c r="R47" s="81">
        <f t="shared" si="75"/>
        <v>0</v>
      </c>
      <c r="S47" s="81">
        <f t="shared" si="75"/>
        <v>0</v>
      </c>
      <c r="T47" s="81">
        <f t="shared" si="75"/>
        <v>0</v>
      </c>
      <c r="U47" s="81">
        <f t="shared" si="75"/>
        <v>0</v>
      </c>
      <c r="V47" s="81">
        <f t="shared" si="75"/>
        <v>0</v>
      </c>
      <c r="W47" s="81">
        <f t="shared" si="75"/>
        <v>0</v>
      </c>
      <c r="X47" s="81">
        <f t="shared" si="75"/>
        <v>0</v>
      </c>
      <c r="Y47" s="81">
        <f t="shared" si="75"/>
        <v>0</v>
      </c>
      <c r="Z47" s="81">
        <f t="shared" si="75"/>
        <v>0</v>
      </c>
      <c r="AA47" s="81">
        <f t="shared" si="75"/>
        <v>0</v>
      </c>
      <c r="AB47" s="81">
        <f t="shared" si="75"/>
        <v>0</v>
      </c>
      <c r="AC47" s="81">
        <f t="shared" si="75"/>
        <v>0</v>
      </c>
      <c r="AD47" s="81">
        <f t="shared" si="75"/>
        <v>0</v>
      </c>
      <c r="AE47" s="81">
        <f t="shared" si="75"/>
        <v>0</v>
      </c>
      <c r="AF47" s="81">
        <f t="shared" si="75"/>
        <v>0</v>
      </c>
      <c r="AG47" s="81">
        <f t="shared" si="75"/>
        <v>0</v>
      </c>
      <c r="AH47" s="81">
        <f t="shared" si="75"/>
        <v>0</v>
      </c>
      <c r="AI47" s="81">
        <f t="shared" si="75"/>
        <v>0</v>
      </c>
      <c r="AJ47" s="81">
        <f t="shared" si="75"/>
        <v>0</v>
      </c>
      <c r="AK47" s="81">
        <f t="shared" si="75"/>
        <v>0</v>
      </c>
      <c r="AL47" s="81">
        <f t="shared" si="75"/>
        <v>0</v>
      </c>
      <c r="AM47" s="81">
        <f t="shared" si="75"/>
        <v>350</v>
      </c>
      <c r="AN47" s="81">
        <f t="shared" si="75"/>
        <v>350</v>
      </c>
      <c r="AO47" s="81">
        <f t="shared" si="75"/>
        <v>350</v>
      </c>
      <c r="AP47" s="81">
        <f t="shared" si="75"/>
        <v>350</v>
      </c>
      <c r="AQ47" s="81">
        <f t="shared" si="75"/>
        <v>350</v>
      </c>
      <c r="AR47" s="81">
        <f t="shared" si="75"/>
        <v>350</v>
      </c>
      <c r="AS47" s="81">
        <f t="shared" si="75"/>
        <v>700</v>
      </c>
      <c r="AT47" s="81">
        <f t="shared" si="75"/>
        <v>700</v>
      </c>
      <c r="AU47" s="81">
        <f t="shared" si="75"/>
        <v>700</v>
      </c>
      <c r="AV47" s="81">
        <f t="shared" si="75"/>
        <v>700</v>
      </c>
      <c r="AW47" s="81">
        <f t="shared" si="75"/>
        <v>1600</v>
      </c>
      <c r="AX47" s="81">
        <f t="shared" si="75"/>
        <v>1600</v>
      </c>
      <c r="AY47" s="81">
        <f t="shared" si="75"/>
        <v>1600</v>
      </c>
      <c r="AZ47" s="81">
        <f t="shared" si="75"/>
        <v>1600</v>
      </c>
      <c r="BA47" s="81">
        <f t="shared" si="75"/>
        <v>1600</v>
      </c>
      <c r="BB47" s="81">
        <f t="shared" si="75"/>
        <v>1600</v>
      </c>
      <c r="BC47" s="81">
        <f t="shared" si="75"/>
        <v>2300</v>
      </c>
      <c r="BD47" s="81">
        <f t="shared" si="75"/>
        <v>2300</v>
      </c>
      <c r="BE47" s="81">
        <f t="shared" si="75"/>
        <v>2300</v>
      </c>
      <c r="BF47" s="81">
        <f t="shared" si="75"/>
        <v>2300</v>
      </c>
      <c r="BG47" s="81">
        <f t="shared" si="75"/>
        <v>2300</v>
      </c>
      <c r="BH47" s="81">
        <f t="shared" si="75"/>
        <v>2300</v>
      </c>
      <c r="BI47" s="81">
        <f t="shared" si="75"/>
        <v>2944</v>
      </c>
      <c r="BJ47" s="81">
        <f t="shared" si="75"/>
        <v>2408</v>
      </c>
      <c r="BK47" s="81">
        <f t="shared" si="75"/>
        <v>2408</v>
      </c>
      <c r="BL47" s="81">
        <f t="shared" si="75"/>
        <v>2408</v>
      </c>
      <c r="BM47" s="81">
        <f t="shared" si="75"/>
        <v>2408</v>
      </c>
      <c r="BN47" s="81">
        <f t="shared" si="75"/>
        <v>2408</v>
      </c>
      <c r="BO47" s="81">
        <f t="shared" si="75"/>
        <v>2408</v>
      </c>
      <c r="BP47" s="81">
        <f t="shared" si="75"/>
        <v>2408</v>
      </c>
      <c r="BQ47" s="81">
        <f t="shared" ref="BQ47:EB47" si="76">SUM(BQ35:BQ46)</f>
        <v>2408</v>
      </c>
      <c r="BR47" s="81">
        <f t="shared" si="76"/>
        <v>2408</v>
      </c>
      <c r="BS47" s="81">
        <f t="shared" si="76"/>
        <v>2408</v>
      </c>
      <c r="BT47" s="81">
        <f t="shared" si="76"/>
        <v>2058</v>
      </c>
      <c r="BU47" s="81">
        <f t="shared" si="76"/>
        <v>2058</v>
      </c>
      <c r="BV47" s="81">
        <f t="shared" si="76"/>
        <v>2058</v>
      </c>
      <c r="BW47" s="81">
        <f t="shared" si="76"/>
        <v>1344</v>
      </c>
      <c r="BX47" s="81">
        <f t="shared" si="76"/>
        <v>1344</v>
      </c>
      <c r="BY47" s="81">
        <f t="shared" si="76"/>
        <v>1344</v>
      </c>
      <c r="BZ47" s="81">
        <f t="shared" si="76"/>
        <v>1344</v>
      </c>
      <c r="CA47" s="81">
        <f t="shared" si="76"/>
        <v>1344</v>
      </c>
      <c r="CB47" s="81">
        <f t="shared" si="76"/>
        <v>1344</v>
      </c>
      <c r="CC47" s="81">
        <f t="shared" si="76"/>
        <v>1344</v>
      </c>
      <c r="CD47" s="81">
        <f t="shared" si="76"/>
        <v>1344</v>
      </c>
      <c r="CE47" s="81">
        <f t="shared" si="76"/>
        <v>1344</v>
      </c>
      <c r="CF47" s="81">
        <f t="shared" si="76"/>
        <v>1344</v>
      </c>
      <c r="CG47" s="81">
        <f t="shared" si="76"/>
        <v>1344</v>
      </c>
      <c r="CH47" s="81">
        <f t="shared" si="76"/>
        <v>1344</v>
      </c>
      <c r="CI47" s="81">
        <f t="shared" si="76"/>
        <v>1344</v>
      </c>
      <c r="CJ47" s="81">
        <f t="shared" si="76"/>
        <v>1344</v>
      </c>
      <c r="CK47" s="81">
        <f t="shared" si="76"/>
        <v>1344</v>
      </c>
      <c r="CL47" s="81">
        <f t="shared" si="76"/>
        <v>1344</v>
      </c>
      <c r="CM47" s="81">
        <f t="shared" si="76"/>
        <v>1344</v>
      </c>
      <c r="CN47" s="81">
        <f t="shared" si="76"/>
        <v>1344</v>
      </c>
      <c r="CO47" s="81">
        <f t="shared" si="76"/>
        <v>1344</v>
      </c>
      <c r="CP47" s="81">
        <f t="shared" si="76"/>
        <v>700</v>
      </c>
      <c r="CQ47" s="81">
        <f t="shared" si="76"/>
        <v>700</v>
      </c>
      <c r="CR47" s="81">
        <f t="shared" si="76"/>
        <v>700</v>
      </c>
      <c r="CS47" s="81">
        <f t="shared" si="76"/>
        <v>700</v>
      </c>
      <c r="CT47" s="81">
        <f t="shared" si="76"/>
        <v>700</v>
      </c>
      <c r="CU47" s="81">
        <f t="shared" si="76"/>
        <v>700</v>
      </c>
      <c r="CV47" s="81">
        <f t="shared" si="76"/>
        <v>700</v>
      </c>
      <c r="CW47" s="81">
        <f t="shared" si="76"/>
        <v>700</v>
      </c>
      <c r="CX47" s="81">
        <f t="shared" si="76"/>
        <v>700</v>
      </c>
      <c r="CY47" s="81">
        <f t="shared" si="76"/>
        <v>700</v>
      </c>
      <c r="CZ47" s="81">
        <f t="shared" si="76"/>
        <v>700</v>
      </c>
      <c r="DA47" s="81">
        <f t="shared" si="76"/>
        <v>700</v>
      </c>
      <c r="DB47" s="81">
        <f t="shared" si="76"/>
        <v>700</v>
      </c>
      <c r="DC47" s="81">
        <f t="shared" si="76"/>
        <v>700</v>
      </c>
      <c r="DD47" s="81">
        <f t="shared" si="76"/>
        <v>0</v>
      </c>
      <c r="DE47" s="81">
        <f t="shared" si="76"/>
        <v>0</v>
      </c>
      <c r="DF47" s="81">
        <f t="shared" si="76"/>
        <v>0</v>
      </c>
      <c r="DG47" s="81">
        <f t="shared" si="76"/>
        <v>0</v>
      </c>
      <c r="DH47" s="81">
        <f t="shared" si="76"/>
        <v>0</v>
      </c>
      <c r="DI47" s="81">
        <f t="shared" si="76"/>
        <v>0</v>
      </c>
      <c r="DJ47" s="81">
        <f t="shared" si="76"/>
        <v>0</v>
      </c>
      <c r="DK47" s="81">
        <f t="shared" si="76"/>
        <v>0</v>
      </c>
      <c r="DL47" s="81">
        <f t="shared" si="76"/>
        <v>0</v>
      </c>
      <c r="DM47" s="81">
        <f t="shared" si="76"/>
        <v>0</v>
      </c>
      <c r="DN47" s="81">
        <f t="shared" si="76"/>
        <v>0</v>
      </c>
      <c r="DO47" s="81">
        <f t="shared" si="76"/>
        <v>0</v>
      </c>
      <c r="DP47" s="81">
        <f t="shared" si="76"/>
        <v>0</v>
      </c>
      <c r="DQ47" s="81">
        <f t="shared" si="76"/>
        <v>0</v>
      </c>
      <c r="DR47" s="81">
        <f t="shared" si="76"/>
        <v>0</v>
      </c>
      <c r="DS47" s="81">
        <f t="shared" si="76"/>
        <v>288</v>
      </c>
      <c r="DT47" s="81">
        <f t="shared" si="76"/>
        <v>288</v>
      </c>
      <c r="DU47" s="81">
        <f t="shared" si="76"/>
        <v>288</v>
      </c>
      <c r="DV47" s="81">
        <f t="shared" si="76"/>
        <v>288</v>
      </c>
      <c r="DW47" s="81">
        <f t="shared" si="76"/>
        <v>288</v>
      </c>
      <c r="DX47" s="81">
        <f t="shared" si="76"/>
        <v>288</v>
      </c>
      <c r="DY47" s="81">
        <f t="shared" si="76"/>
        <v>288</v>
      </c>
      <c r="DZ47" s="81">
        <f t="shared" si="76"/>
        <v>288</v>
      </c>
      <c r="EA47" s="81">
        <f t="shared" si="76"/>
        <v>288</v>
      </c>
      <c r="EB47" s="81">
        <f t="shared" si="76"/>
        <v>288</v>
      </c>
      <c r="EC47" s="81">
        <f t="shared" ref="EC47:GN47" si="77">SUM(EC35:EC46)</f>
        <v>288</v>
      </c>
      <c r="ED47" s="81">
        <f t="shared" si="77"/>
        <v>288</v>
      </c>
      <c r="EE47" s="81">
        <f t="shared" si="77"/>
        <v>288</v>
      </c>
      <c r="EF47" s="81">
        <f t="shared" si="77"/>
        <v>288</v>
      </c>
      <c r="EG47" s="81">
        <f t="shared" si="77"/>
        <v>288</v>
      </c>
      <c r="EH47" s="81">
        <f t="shared" si="77"/>
        <v>288</v>
      </c>
      <c r="EI47" s="81">
        <f t="shared" si="77"/>
        <v>288</v>
      </c>
      <c r="EJ47" s="81">
        <f t="shared" si="77"/>
        <v>288</v>
      </c>
      <c r="EK47" s="81">
        <f t="shared" si="77"/>
        <v>288</v>
      </c>
      <c r="EL47" s="81">
        <f t="shared" si="77"/>
        <v>288</v>
      </c>
      <c r="EM47" s="81">
        <f t="shared" si="77"/>
        <v>288</v>
      </c>
      <c r="EN47" s="81">
        <f t="shared" si="77"/>
        <v>288</v>
      </c>
      <c r="EO47" s="81">
        <f t="shared" si="77"/>
        <v>288</v>
      </c>
      <c r="EP47" s="81">
        <f t="shared" si="77"/>
        <v>0</v>
      </c>
      <c r="EQ47" s="81">
        <f t="shared" si="77"/>
        <v>0</v>
      </c>
      <c r="ER47" s="81">
        <f t="shared" si="77"/>
        <v>0</v>
      </c>
      <c r="ES47" s="81">
        <f t="shared" si="77"/>
        <v>0</v>
      </c>
      <c r="ET47" s="81">
        <f t="shared" si="77"/>
        <v>0</v>
      </c>
      <c r="EU47" s="81">
        <f t="shared" si="77"/>
        <v>0</v>
      </c>
      <c r="EV47" s="81">
        <f t="shared" si="77"/>
        <v>0</v>
      </c>
      <c r="EW47" s="81">
        <f t="shared" si="77"/>
        <v>0</v>
      </c>
      <c r="EX47" s="81">
        <f t="shared" si="77"/>
        <v>0</v>
      </c>
      <c r="EY47" s="81">
        <f t="shared" si="77"/>
        <v>0</v>
      </c>
      <c r="EZ47" s="81">
        <f t="shared" si="77"/>
        <v>0</v>
      </c>
      <c r="FA47" s="81">
        <f t="shared" si="77"/>
        <v>0</v>
      </c>
      <c r="FB47" s="81">
        <f t="shared" si="77"/>
        <v>0</v>
      </c>
      <c r="FC47" s="81">
        <f t="shared" si="77"/>
        <v>0</v>
      </c>
      <c r="FD47" s="81">
        <f t="shared" si="77"/>
        <v>0</v>
      </c>
      <c r="FE47" s="81">
        <f t="shared" si="77"/>
        <v>0</v>
      </c>
      <c r="FF47" s="81">
        <f t="shared" si="77"/>
        <v>0</v>
      </c>
      <c r="FG47" s="81">
        <f t="shared" si="77"/>
        <v>0</v>
      </c>
      <c r="FH47" s="81">
        <f t="shared" si="77"/>
        <v>0</v>
      </c>
      <c r="FI47" s="81">
        <f t="shared" si="77"/>
        <v>0</v>
      </c>
      <c r="FJ47" s="81">
        <f t="shared" si="77"/>
        <v>0</v>
      </c>
      <c r="FK47" s="81">
        <f t="shared" si="77"/>
        <v>0</v>
      </c>
      <c r="FL47" s="81">
        <f t="shared" si="77"/>
        <v>0</v>
      </c>
      <c r="FM47" s="81">
        <f t="shared" si="77"/>
        <v>0</v>
      </c>
      <c r="FN47" s="81">
        <f t="shared" si="77"/>
        <v>0</v>
      </c>
      <c r="FO47" s="81">
        <f t="shared" si="77"/>
        <v>0</v>
      </c>
      <c r="FP47" s="81">
        <f t="shared" si="77"/>
        <v>0</v>
      </c>
      <c r="FQ47" s="81">
        <f t="shared" si="77"/>
        <v>0</v>
      </c>
      <c r="FR47" s="81">
        <f t="shared" si="77"/>
        <v>0</v>
      </c>
      <c r="FS47" s="81">
        <f t="shared" si="77"/>
        <v>775</v>
      </c>
      <c r="FT47" s="81">
        <f t="shared" si="77"/>
        <v>775</v>
      </c>
      <c r="FU47" s="81">
        <f t="shared" si="77"/>
        <v>775</v>
      </c>
      <c r="FV47" s="81">
        <f t="shared" si="77"/>
        <v>775</v>
      </c>
      <c r="FW47" s="81">
        <f t="shared" si="77"/>
        <v>775</v>
      </c>
      <c r="FX47" s="81">
        <f t="shared" si="77"/>
        <v>775</v>
      </c>
      <c r="FY47" s="81">
        <f t="shared" si="77"/>
        <v>775</v>
      </c>
      <c r="FZ47" s="81">
        <f t="shared" si="77"/>
        <v>775</v>
      </c>
      <c r="GA47" s="81">
        <f t="shared" si="77"/>
        <v>775</v>
      </c>
      <c r="GB47" s="81">
        <f t="shared" si="77"/>
        <v>775</v>
      </c>
      <c r="GC47" s="81">
        <f t="shared" si="77"/>
        <v>775</v>
      </c>
      <c r="GD47" s="81">
        <f t="shared" si="77"/>
        <v>775</v>
      </c>
      <c r="GE47" s="81">
        <f t="shared" si="77"/>
        <v>775</v>
      </c>
      <c r="GF47" s="81">
        <f t="shared" si="77"/>
        <v>775</v>
      </c>
      <c r="GG47" s="81">
        <f t="shared" si="77"/>
        <v>775</v>
      </c>
      <c r="GH47" s="81">
        <f t="shared" si="77"/>
        <v>775</v>
      </c>
      <c r="GI47" s="81">
        <f t="shared" si="77"/>
        <v>775</v>
      </c>
      <c r="GJ47" s="81">
        <f t="shared" si="77"/>
        <v>775</v>
      </c>
      <c r="GK47" s="81">
        <f t="shared" si="77"/>
        <v>775</v>
      </c>
      <c r="GL47" s="81">
        <f t="shared" si="77"/>
        <v>775</v>
      </c>
      <c r="GM47" s="81">
        <f t="shared" si="77"/>
        <v>775</v>
      </c>
      <c r="GN47" s="81">
        <f t="shared" si="77"/>
        <v>775</v>
      </c>
      <c r="GO47" s="81">
        <f t="shared" ref="GO47:IZ47" si="78">SUM(GO35:GO46)</f>
        <v>775</v>
      </c>
      <c r="GP47" s="81">
        <f t="shared" si="78"/>
        <v>775</v>
      </c>
      <c r="GQ47" s="81">
        <f t="shared" si="78"/>
        <v>775</v>
      </c>
      <c r="GR47" s="81">
        <f t="shared" si="78"/>
        <v>775</v>
      </c>
      <c r="GS47" s="81">
        <f t="shared" si="78"/>
        <v>2275</v>
      </c>
      <c r="GT47" s="81">
        <f t="shared" si="78"/>
        <v>2275</v>
      </c>
      <c r="GU47" s="81">
        <f t="shared" si="78"/>
        <v>2275</v>
      </c>
      <c r="GV47" s="81">
        <f t="shared" si="78"/>
        <v>2275</v>
      </c>
      <c r="GW47" s="81">
        <f t="shared" si="78"/>
        <v>2275</v>
      </c>
      <c r="GX47" s="81">
        <f t="shared" si="78"/>
        <v>1500</v>
      </c>
      <c r="GY47" s="81">
        <f t="shared" si="78"/>
        <v>1500</v>
      </c>
      <c r="GZ47" s="81">
        <f t="shared" si="78"/>
        <v>1500</v>
      </c>
      <c r="HA47" s="81">
        <f t="shared" si="78"/>
        <v>1500</v>
      </c>
      <c r="HB47" s="81">
        <f t="shared" si="78"/>
        <v>1500</v>
      </c>
      <c r="HC47" s="81">
        <f t="shared" si="78"/>
        <v>1500</v>
      </c>
      <c r="HD47" s="81">
        <f t="shared" si="78"/>
        <v>1500</v>
      </c>
      <c r="HE47" s="81">
        <f t="shared" si="78"/>
        <v>1500</v>
      </c>
      <c r="HF47" s="81">
        <f t="shared" si="78"/>
        <v>1500</v>
      </c>
      <c r="HG47" s="81">
        <f t="shared" si="78"/>
        <v>1500</v>
      </c>
      <c r="HH47" s="81">
        <f t="shared" si="78"/>
        <v>0</v>
      </c>
    </row>
    <row r="48" spans="1:216" x14ac:dyDescent="0.2">
      <c r="A48" s="72" t="s">
        <v>252</v>
      </c>
      <c r="B48" s="72"/>
      <c r="C48" s="72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  <c r="CS48" s="73"/>
      <c r="CT48" s="73"/>
      <c r="CU48" s="73"/>
      <c r="CV48" s="73"/>
      <c r="CW48" s="73"/>
      <c r="CX48" s="73"/>
      <c r="CY48" s="73"/>
      <c r="CZ48" s="73"/>
      <c r="DA48" s="73"/>
      <c r="DB48" s="73"/>
      <c r="DC48" s="73"/>
      <c r="DD48" s="73"/>
      <c r="DE48" s="73"/>
      <c r="DF48" s="73"/>
      <c r="DG48" s="73"/>
      <c r="DH48" s="73"/>
      <c r="DI48" s="73"/>
      <c r="DJ48" s="73"/>
      <c r="DK48" s="73"/>
      <c r="DL48" s="73"/>
      <c r="DM48" s="73"/>
      <c r="DN48" s="73"/>
      <c r="DO48" s="73"/>
      <c r="DP48" s="73"/>
      <c r="DQ48" s="73"/>
      <c r="DR48" s="73"/>
      <c r="DS48" s="73"/>
      <c r="DT48" s="73"/>
      <c r="DU48" s="73"/>
      <c r="DV48" s="73"/>
      <c r="DW48" s="73"/>
      <c r="DX48" s="73"/>
      <c r="DY48" s="73"/>
      <c r="DZ48" s="73"/>
      <c r="EA48" s="73"/>
      <c r="EB48" s="73"/>
      <c r="EC48" s="73"/>
      <c r="ED48" s="73"/>
      <c r="EE48" s="73"/>
      <c r="EF48" s="73"/>
      <c r="EG48" s="73"/>
      <c r="EH48" s="73"/>
      <c r="EI48" s="73"/>
      <c r="EJ48" s="73"/>
      <c r="EK48" s="73"/>
      <c r="EL48" s="73"/>
      <c r="EM48" s="73"/>
      <c r="EN48" s="73"/>
      <c r="EO48" s="73"/>
      <c r="EP48" s="73"/>
      <c r="EQ48" s="73"/>
      <c r="ER48" s="73"/>
      <c r="ES48" s="73"/>
      <c r="ET48" s="73"/>
      <c r="EU48" s="73"/>
      <c r="EV48" s="73"/>
      <c r="EW48" s="73"/>
      <c r="EX48" s="73"/>
      <c r="EY48" s="73"/>
      <c r="EZ48" s="73"/>
      <c r="FA48" s="73"/>
      <c r="FB48" s="73"/>
      <c r="FC48" s="73"/>
      <c r="FD48" s="73"/>
      <c r="FE48" s="73"/>
      <c r="FF48" s="73"/>
      <c r="FG48" s="73"/>
      <c r="FH48" s="73"/>
      <c r="FI48" s="73"/>
      <c r="FJ48" s="73"/>
      <c r="FK48" s="73"/>
      <c r="FL48" s="73"/>
      <c r="FM48" s="73"/>
      <c r="FN48" s="73"/>
      <c r="FO48" s="73"/>
      <c r="FP48" s="73"/>
      <c r="FQ48" s="73"/>
      <c r="FR48" s="73"/>
      <c r="FS48" s="73"/>
      <c r="FT48" s="73"/>
      <c r="FU48" s="73"/>
      <c r="FV48" s="73"/>
      <c r="FW48" s="73"/>
      <c r="FX48" s="73"/>
      <c r="FY48" s="73"/>
      <c r="FZ48" s="73"/>
      <c r="GA48" s="73"/>
      <c r="GB48" s="73"/>
      <c r="GC48" s="73"/>
      <c r="GD48" s="73"/>
      <c r="GE48" s="73"/>
      <c r="GF48" s="73"/>
      <c r="GG48" s="73"/>
      <c r="GH48" s="73"/>
      <c r="GI48" s="73"/>
      <c r="GJ48" s="73"/>
      <c r="GK48" s="73"/>
      <c r="GL48" s="73"/>
      <c r="GM48" s="73"/>
      <c r="GN48" s="73"/>
      <c r="GO48" s="73"/>
      <c r="GP48" s="73"/>
      <c r="GQ48" s="73"/>
      <c r="GR48" s="73"/>
      <c r="GS48" s="73"/>
      <c r="GT48" s="73"/>
      <c r="GU48" s="73"/>
      <c r="GV48" s="73"/>
      <c r="GW48" s="73"/>
      <c r="GX48" s="73"/>
      <c r="GY48" s="73"/>
      <c r="GZ48" s="73"/>
      <c r="HA48" s="73"/>
      <c r="HB48" s="73"/>
      <c r="HC48" s="73"/>
      <c r="HD48" s="73"/>
      <c r="HE48" s="73"/>
      <c r="HF48" s="73"/>
      <c r="HG48" s="73"/>
      <c r="HH48" s="73"/>
    </row>
    <row r="49" spans="1:216" x14ac:dyDescent="0.2">
      <c r="A49" s="82" t="str">
        <f>'FY1 Event Pipeline'!A4</f>
        <v>Saadiyat Nights</v>
      </c>
      <c r="B49" s="83">
        <f>_xlfn.XLOOKUP(A49,'FY1 Event Pipeline'!$A$4:$A$15,'FY1 Event Pipeline'!$H$4:$H$15)</f>
        <v>46297</v>
      </c>
      <c r="C49" s="83">
        <f>_xlfn.XLOOKUP(A49,'FY1 Event Pipeline'!$A$4:$A$15,'FY1 Event Pipeline'!$J$4:$J$15)</f>
        <v>46453</v>
      </c>
      <c r="D49" s="84">
        <f>_xlfn.XLOOKUP(A49,'FY1 Event Pipeline'!$A$4:$A$15,'FY1 Event Pipeline'!$Q$4:$Q$15)</f>
        <v>0</v>
      </c>
      <c r="E49" s="74" t="str">
        <f t="shared" ref="E49:N60" si="79">IF(AND(E$5&gt;=$B49,E$5&lt;=$C49),$D49,"")</f>
        <v/>
      </c>
      <c r="F49" s="75">
        <f t="shared" si="79"/>
        <v>0</v>
      </c>
      <c r="G49" s="75">
        <f t="shared" si="79"/>
        <v>0</v>
      </c>
      <c r="H49" s="75">
        <f t="shared" si="79"/>
        <v>0</v>
      </c>
      <c r="I49" s="75">
        <f t="shared" si="79"/>
        <v>0</v>
      </c>
      <c r="J49" s="75">
        <f t="shared" si="79"/>
        <v>0</v>
      </c>
      <c r="K49" s="75">
        <f t="shared" si="79"/>
        <v>0</v>
      </c>
      <c r="L49" s="75">
        <f t="shared" si="79"/>
        <v>0</v>
      </c>
      <c r="M49" s="75">
        <f t="shared" si="79"/>
        <v>0</v>
      </c>
      <c r="N49" s="75">
        <f t="shared" si="79"/>
        <v>0</v>
      </c>
      <c r="O49" s="75">
        <f t="shared" ref="O49:X60" si="80">IF(AND(O$5&gt;=$B49,O$5&lt;=$C49),$D49,"")</f>
        <v>0</v>
      </c>
      <c r="P49" s="75">
        <f t="shared" si="80"/>
        <v>0</v>
      </c>
      <c r="Q49" s="75">
        <f t="shared" si="80"/>
        <v>0</v>
      </c>
      <c r="R49" s="75">
        <f t="shared" si="80"/>
        <v>0</v>
      </c>
      <c r="S49" s="75">
        <f t="shared" si="80"/>
        <v>0</v>
      </c>
      <c r="T49" s="75">
        <f t="shared" si="80"/>
        <v>0</v>
      </c>
      <c r="U49" s="75">
        <f t="shared" si="80"/>
        <v>0</v>
      </c>
      <c r="V49" s="75">
        <f t="shared" si="80"/>
        <v>0</v>
      </c>
      <c r="W49" s="75">
        <f t="shared" si="80"/>
        <v>0</v>
      </c>
      <c r="X49" s="75">
        <f t="shared" si="80"/>
        <v>0</v>
      </c>
      <c r="Y49" s="75">
        <f t="shared" ref="Y49:AH60" si="81">IF(AND(Y$5&gt;=$B49,Y$5&lt;=$C49),$D49,"")</f>
        <v>0</v>
      </c>
      <c r="Z49" s="75">
        <f t="shared" si="81"/>
        <v>0</v>
      </c>
      <c r="AA49" s="75">
        <f t="shared" si="81"/>
        <v>0</v>
      </c>
      <c r="AB49" s="75">
        <f t="shared" si="81"/>
        <v>0</v>
      </c>
      <c r="AC49" s="75">
        <f t="shared" si="81"/>
        <v>0</v>
      </c>
      <c r="AD49" s="75">
        <f t="shared" si="81"/>
        <v>0</v>
      </c>
      <c r="AE49" s="75">
        <f t="shared" si="81"/>
        <v>0</v>
      </c>
      <c r="AF49" s="75">
        <f t="shared" si="81"/>
        <v>0</v>
      </c>
      <c r="AG49" s="75">
        <f t="shared" si="81"/>
        <v>0</v>
      </c>
      <c r="AH49" s="75">
        <f t="shared" si="81"/>
        <v>0</v>
      </c>
      <c r="AI49" s="75">
        <f t="shared" ref="AI49:AR60" si="82">IF(AND(AI$5&gt;=$B49,AI$5&lt;=$C49),$D49,"")</f>
        <v>0</v>
      </c>
      <c r="AJ49" s="76">
        <f t="shared" si="82"/>
        <v>0</v>
      </c>
      <c r="AK49" s="76">
        <f t="shared" si="82"/>
        <v>0</v>
      </c>
      <c r="AL49" s="76">
        <f t="shared" si="82"/>
        <v>0</v>
      </c>
      <c r="AM49" s="76">
        <f t="shared" si="82"/>
        <v>0</v>
      </c>
      <c r="AN49" s="76">
        <f t="shared" si="82"/>
        <v>0</v>
      </c>
      <c r="AO49" s="76">
        <f t="shared" si="82"/>
        <v>0</v>
      </c>
      <c r="AP49" s="76">
        <f t="shared" si="82"/>
        <v>0</v>
      </c>
      <c r="AQ49" s="76">
        <f t="shared" si="82"/>
        <v>0</v>
      </c>
      <c r="AR49" s="76">
        <f t="shared" si="82"/>
        <v>0</v>
      </c>
      <c r="AS49" s="76">
        <f t="shared" ref="AS49:BB60" si="83">IF(AND(AS$5&gt;=$B49,AS$5&lt;=$C49),$D49,"")</f>
        <v>0</v>
      </c>
      <c r="AT49" s="76">
        <f t="shared" si="83"/>
        <v>0</v>
      </c>
      <c r="AU49" s="76">
        <f t="shared" si="83"/>
        <v>0</v>
      </c>
      <c r="AV49" s="76">
        <f t="shared" si="83"/>
        <v>0</v>
      </c>
      <c r="AW49" s="76">
        <f t="shared" si="83"/>
        <v>0</v>
      </c>
      <c r="AX49" s="76">
        <f t="shared" si="83"/>
        <v>0</v>
      </c>
      <c r="AY49" s="76">
        <f t="shared" si="83"/>
        <v>0</v>
      </c>
      <c r="AZ49" s="76">
        <f t="shared" si="83"/>
        <v>0</v>
      </c>
      <c r="BA49" s="76">
        <f t="shared" si="83"/>
        <v>0</v>
      </c>
      <c r="BB49" s="76">
        <f t="shared" si="83"/>
        <v>0</v>
      </c>
      <c r="BC49" s="76">
        <f t="shared" ref="BC49:BL60" si="84">IF(AND(BC$5&gt;=$B49,BC$5&lt;=$C49),$D49,"")</f>
        <v>0</v>
      </c>
      <c r="BD49" s="76">
        <f t="shared" si="84"/>
        <v>0</v>
      </c>
      <c r="BE49" s="76">
        <f t="shared" si="84"/>
        <v>0</v>
      </c>
      <c r="BF49" s="76">
        <f t="shared" si="84"/>
        <v>0</v>
      </c>
      <c r="BG49" s="76">
        <f t="shared" si="84"/>
        <v>0</v>
      </c>
      <c r="BH49" s="76">
        <f t="shared" si="84"/>
        <v>0</v>
      </c>
      <c r="BI49" s="76">
        <f t="shared" si="84"/>
        <v>0</v>
      </c>
      <c r="BJ49" s="76">
        <f t="shared" si="84"/>
        <v>0</v>
      </c>
      <c r="BK49" s="76">
        <f t="shared" si="84"/>
        <v>0</v>
      </c>
      <c r="BL49" s="76">
        <f t="shared" si="84"/>
        <v>0</v>
      </c>
      <c r="BM49" s="76">
        <f t="shared" ref="BM49:BV60" si="85">IF(AND(BM$5&gt;=$B49,BM$5&lt;=$C49),$D49,"")</f>
        <v>0</v>
      </c>
      <c r="BN49" s="76">
        <f t="shared" si="85"/>
        <v>0</v>
      </c>
      <c r="BO49" s="76">
        <f t="shared" si="85"/>
        <v>0</v>
      </c>
      <c r="BP49" s="76">
        <f t="shared" si="85"/>
        <v>0</v>
      </c>
      <c r="BQ49" s="76">
        <f t="shared" si="85"/>
        <v>0</v>
      </c>
      <c r="BR49" s="76">
        <f t="shared" si="85"/>
        <v>0</v>
      </c>
      <c r="BS49" s="76">
        <f t="shared" si="85"/>
        <v>0</v>
      </c>
      <c r="BT49" s="76">
        <f t="shared" si="85"/>
        <v>0</v>
      </c>
      <c r="BU49" s="76">
        <f t="shared" si="85"/>
        <v>0</v>
      </c>
      <c r="BV49" s="76">
        <f t="shared" si="85"/>
        <v>0</v>
      </c>
      <c r="BW49" s="76">
        <f t="shared" ref="BW49:CF60" si="86">IF(AND(BW$5&gt;=$B49,BW$5&lt;=$C49),$D49,"")</f>
        <v>0</v>
      </c>
      <c r="BX49" s="76">
        <f t="shared" si="86"/>
        <v>0</v>
      </c>
      <c r="BY49" s="76">
        <f t="shared" si="86"/>
        <v>0</v>
      </c>
      <c r="BZ49" s="76">
        <f t="shared" si="86"/>
        <v>0</v>
      </c>
      <c r="CA49" s="76">
        <f t="shared" si="86"/>
        <v>0</v>
      </c>
      <c r="CB49" s="76">
        <f t="shared" si="86"/>
        <v>0</v>
      </c>
      <c r="CC49" s="76">
        <f t="shared" si="86"/>
        <v>0</v>
      </c>
      <c r="CD49" s="76">
        <f t="shared" si="86"/>
        <v>0</v>
      </c>
      <c r="CE49" s="76">
        <f t="shared" si="86"/>
        <v>0</v>
      </c>
      <c r="CF49" s="76">
        <f t="shared" si="86"/>
        <v>0</v>
      </c>
      <c r="CG49" s="76">
        <f t="shared" ref="CG49:CP60" si="87">IF(AND(CG$5&gt;=$B49,CG$5&lt;=$C49),$D49,"")</f>
        <v>0</v>
      </c>
      <c r="CH49" s="76">
        <f t="shared" si="87"/>
        <v>0</v>
      </c>
      <c r="CI49" s="76">
        <f t="shared" si="87"/>
        <v>0</v>
      </c>
      <c r="CJ49" s="76">
        <f t="shared" si="87"/>
        <v>0</v>
      </c>
      <c r="CK49" s="76">
        <f t="shared" si="87"/>
        <v>0</v>
      </c>
      <c r="CL49" s="76">
        <f t="shared" si="87"/>
        <v>0</v>
      </c>
      <c r="CM49" s="76">
        <f t="shared" si="87"/>
        <v>0</v>
      </c>
      <c r="CN49" s="76">
        <f t="shared" si="87"/>
        <v>0</v>
      </c>
      <c r="CO49" s="76">
        <f t="shared" si="87"/>
        <v>0</v>
      </c>
      <c r="CP49" s="76">
        <f t="shared" si="87"/>
        <v>0</v>
      </c>
      <c r="CQ49" s="76">
        <f t="shared" ref="CQ49:CZ60" si="88">IF(AND(CQ$5&gt;=$B49,CQ$5&lt;=$C49),$D49,"")</f>
        <v>0</v>
      </c>
      <c r="CR49" s="76">
        <f t="shared" si="88"/>
        <v>0</v>
      </c>
      <c r="CS49" s="76">
        <f t="shared" si="88"/>
        <v>0</v>
      </c>
      <c r="CT49" s="76">
        <f t="shared" si="88"/>
        <v>0</v>
      </c>
      <c r="CU49" s="76">
        <f t="shared" si="88"/>
        <v>0</v>
      </c>
      <c r="CV49" s="76">
        <f t="shared" si="88"/>
        <v>0</v>
      </c>
      <c r="CW49" s="76">
        <f t="shared" si="88"/>
        <v>0</v>
      </c>
      <c r="CX49" s="76">
        <f t="shared" si="88"/>
        <v>0</v>
      </c>
      <c r="CY49" s="76">
        <f t="shared" si="88"/>
        <v>0</v>
      </c>
      <c r="CZ49" s="76">
        <f t="shared" si="88"/>
        <v>0</v>
      </c>
      <c r="DA49" s="76">
        <f t="shared" ref="DA49:DJ60" si="89">IF(AND(DA$5&gt;=$B49,DA$5&lt;=$C49),$D49,"")</f>
        <v>0</v>
      </c>
      <c r="DB49" s="76">
        <f t="shared" si="89"/>
        <v>0</v>
      </c>
      <c r="DC49" s="76">
        <f t="shared" si="89"/>
        <v>0</v>
      </c>
      <c r="DD49" s="76">
        <f t="shared" si="89"/>
        <v>0</v>
      </c>
      <c r="DE49" s="76">
        <f t="shared" si="89"/>
        <v>0</v>
      </c>
      <c r="DF49" s="76">
        <f t="shared" si="89"/>
        <v>0</v>
      </c>
      <c r="DG49" s="76">
        <f t="shared" si="89"/>
        <v>0</v>
      </c>
      <c r="DH49" s="76">
        <f t="shared" si="89"/>
        <v>0</v>
      </c>
      <c r="DI49" s="76">
        <f t="shared" si="89"/>
        <v>0</v>
      </c>
      <c r="DJ49" s="76">
        <f t="shared" si="89"/>
        <v>0</v>
      </c>
      <c r="DK49" s="76">
        <f t="shared" ref="DK49:DT60" si="90">IF(AND(DK$5&gt;=$B49,DK$5&lt;=$C49),$D49,"")</f>
        <v>0</v>
      </c>
      <c r="DL49" s="76">
        <f t="shared" si="90"/>
        <v>0</v>
      </c>
      <c r="DM49" s="76">
        <f t="shared" si="90"/>
        <v>0</v>
      </c>
      <c r="DN49" s="76">
        <f t="shared" si="90"/>
        <v>0</v>
      </c>
      <c r="DO49" s="76">
        <f t="shared" si="90"/>
        <v>0</v>
      </c>
      <c r="DP49" s="76">
        <f t="shared" si="90"/>
        <v>0</v>
      </c>
      <c r="DQ49" s="76">
        <f t="shared" si="90"/>
        <v>0</v>
      </c>
      <c r="DR49" s="76">
        <f t="shared" si="90"/>
        <v>0</v>
      </c>
      <c r="DS49" s="76">
        <f t="shared" si="90"/>
        <v>0</v>
      </c>
      <c r="DT49" s="76">
        <f t="shared" si="90"/>
        <v>0</v>
      </c>
      <c r="DU49" s="76">
        <f t="shared" ref="DU49:ED60" si="91">IF(AND(DU$5&gt;=$B49,DU$5&lt;=$C49),$D49,"")</f>
        <v>0</v>
      </c>
      <c r="DV49" s="76">
        <f t="shared" si="91"/>
        <v>0</v>
      </c>
      <c r="DW49" s="76">
        <f t="shared" si="91"/>
        <v>0</v>
      </c>
      <c r="DX49" s="76">
        <f t="shared" si="91"/>
        <v>0</v>
      </c>
      <c r="DY49" s="76">
        <f t="shared" si="91"/>
        <v>0</v>
      </c>
      <c r="DZ49" s="76">
        <f t="shared" si="91"/>
        <v>0</v>
      </c>
      <c r="EA49" s="76">
        <f t="shared" si="91"/>
        <v>0</v>
      </c>
      <c r="EB49" s="76">
        <f t="shared" si="91"/>
        <v>0</v>
      </c>
      <c r="EC49" s="76">
        <f t="shared" si="91"/>
        <v>0</v>
      </c>
      <c r="ED49" s="76">
        <f t="shared" si="91"/>
        <v>0</v>
      </c>
      <c r="EE49" s="76">
        <f t="shared" ref="EE49:EN60" si="92">IF(AND(EE$5&gt;=$B49,EE$5&lt;=$C49),$D49,"")</f>
        <v>0</v>
      </c>
      <c r="EF49" s="76">
        <f t="shared" si="92"/>
        <v>0</v>
      </c>
      <c r="EG49" s="76">
        <f t="shared" si="92"/>
        <v>0</v>
      </c>
      <c r="EH49" s="76">
        <f t="shared" si="92"/>
        <v>0</v>
      </c>
      <c r="EI49" s="76">
        <f t="shared" si="92"/>
        <v>0</v>
      </c>
      <c r="EJ49" s="76">
        <f t="shared" si="92"/>
        <v>0</v>
      </c>
      <c r="EK49" s="76">
        <f t="shared" si="92"/>
        <v>0</v>
      </c>
      <c r="EL49" s="76">
        <f t="shared" si="92"/>
        <v>0</v>
      </c>
      <c r="EM49" s="76">
        <f t="shared" si="92"/>
        <v>0</v>
      </c>
      <c r="EN49" s="76">
        <f t="shared" si="92"/>
        <v>0</v>
      </c>
      <c r="EO49" s="76">
        <f t="shared" ref="EO49:EX60" si="93">IF(AND(EO$5&gt;=$B49,EO$5&lt;=$C49),$D49,"")</f>
        <v>0</v>
      </c>
      <c r="EP49" s="76">
        <f t="shared" si="93"/>
        <v>0</v>
      </c>
      <c r="EQ49" s="76">
        <f t="shared" si="93"/>
        <v>0</v>
      </c>
      <c r="ER49" s="76">
        <f t="shared" si="93"/>
        <v>0</v>
      </c>
      <c r="ES49" s="76">
        <f t="shared" si="93"/>
        <v>0</v>
      </c>
      <c r="ET49" s="76">
        <f t="shared" si="93"/>
        <v>0</v>
      </c>
      <c r="EU49" s="76">
        <f t="shared" si="93"/>
        <v>0</v>
      </c>
      <c r="EV49" s="76">
        <f t="shared" si="93"/>
        <v>0</v>
      </c>
      <c r="EW49" s="76">
        <f t="shared" si="93"/>
        <v>0</v>
      </c>
      <c r="EX49" s="76">
        <f t="shared" si="93"/>
        <v>0</v>
      </c>
      <c r="EY49" s="76">
        <f t="shared" ref="EY49:FH60" si="94">IF(AND(EY$5&gt;=$B49,EY$5&lt;=$C49),$D49,"")</f>
        <v>0</v>
      </c>
      <c r="EZ49" s="77">
        <f t="shared" si="94"/>
        <v>0</v>
      </c>
      <c r="FA49" s="77">
        <f t="shared" si="94"/>
        <v>0</v>
      </c>
      <c r="FB49" s="77">
        <f t="shared" si="94"/>
        <v>0</v>
      </c>
      <c r="FC49" s="77">
        <f t="shared" si="94"/>
        <v>0</v>
      </c>
      <c r="FD49" s="77">
        <f t="shared" si="94"/>
        <v>0</v>
      </c>
      <c r="FE49" s="77">
        <f t="shared" si="94"/>
        <v>0</v>
      </c>
      <c r="FF49" s="77">
        <f t="shared" si="94"/>
        <v>0</v>
      </c>
      <c r="FG49" s="74" t="str">
        <f t="shared" si="94"/>
        <v/>
      </c>
      <c r="FH49" s="74" t="str">
        <f t="shared" si="94"/>
        <v/>
      </c>
      <c r="FI49" s="74" t="str">
        <f t="shared" ref="FI49:FR60" si="95">IF(AND(FI$5&gt;=$B49,FI$5&lt;=$C49),$D49,"")</f>
        <v/>
      </c>
      <c r="FJ49" s="74" t="str">
        <f t="shared" si="95"/>
        <v/>
      </c>
      <c r="FK49" s="74" t="str">
        <f t="shared" si="95"/>
        <v/>
      </c>
      <c r="FL49" s="78" t="str">
        <f t="shared" si="95"/>
        <v/>
      </c>
      <c r="FM49" s="78" t="str">
        <f t="shared" si="95"/>
        <v/>
      </c>
      <c r="FN49" s="74" t="str">
        <f t="shared" si="95"/>
        <v/>
      </c>
      <c r="FO49" s="74" t="str">
        <f t="shared" si="95"/>
        <v/>
      </c>
      <c r="FP49" s="74" t="str">
        <f t="shared" si="95"/>
        <v/>
      </c>
      <c r="FQ49" s="74" t="str">
        <f t="shared" si="95"/>
        <v/>
      </c>
      <c r="FR49" s="74" t="str">
        <f t="shared" si="95"/>
        <v/>
      </c>
      <c r="FS49" s="78" t="str">
        <f t="shared" ref="FS49:GB60" si="96">IF(AND(FS$5&gt;=$B49,FS$5&lt;=$C49),$D49,"")</f>
        <v/>
      </c>
      <c r="FT49" s="78" t="str">
        <f t="shared" si="96"/>
        <v/>
      </c>
      <c r="FU49" s="74" t="str">
        <f t="shared" si="96"/>
        <v/>
      </c>
      <c r="FV49" s="74" t="str">
        <f t="shared" si="96"/>
        <v/>
      </c>
      <c r="FW49" s="74" t="str">
        <f t="shared" si="96"/>
        <v/>
      </c>
      <c r="FX49" s="74" t="str">
        <f t="shared" si="96"/>
        <v/>
      </c>
      <c r="FY49" s="74" t="str">
        <f t="shared" si="96"/>
        <v/>
      </c>
      <c r="FZ49" s="78" t="str">
        <f t="shared" si="96"/>
        <v/>
      </c>
      <c r="GA49" s="78" t="str">
        <f t="shared" si="96"/>
        <v/>
      </c>
      <c r="GB49" s="74" t="str">
        <f t="shared" si="96"/>
        <v/>
      </c>
      <c r="GC49" s="74" t="str">
        <f t="shared" ref="GC49:GL60" si="97">IF(AND(GC$5&gt;=$B49,GC$5&lt;=$C49),$D49,"")</f>
        <v/>
      </c>
      <c r="GD49" s="74" t="str">
        <f t="shared" si="97"/>
        <v/>
      </c>
      <c r="GE49" s="74" t="str">
        <f t="shared" si="97"/>
        <v/>
      </c>
      <c r="GF49" s="74" t="str">
        <f t="shared" si="97"/>
        <v/>
      </c>
      <c r="GG49" s="78" t="str">
        <f t="shared" si="97"/>
        <v/>
      </c>
      <c r="GH49" s="78" t="str">
        <f t="shared" si="97"/>
        <v/>
      </c>
      <c r="GI49" s="74" t="str">
        <f t="shared" si="97"/>
        <v/>
      </c>
      <c r="GJ49" s="74" t="str">
        <f t="shared" si="97"/>
        <v/>
      </c>
      <c r="GK49" s="74" t="str">
        <f t="shared" si="97"/>
        <v/>
      </c>
      <c r="GL49" s="74" t="str">
        <f t="shared" si="97"/>
        <v/>
      </c>
      <c r="GM49" s="74" t="str">
        <f t="shared" ref="GM49:GV60" si="98">IF(AND(GM$5&gt;=$B49,GM$5&lt;=$C49),$D49,"")</f>
        <v/>
      </c>
      <c r="GN49" s="78" t="str">
        <f t="shared" si="98"/>
        <v/>
      </c>
      <c r="GO49" s="78" t="str">
        <f t="shared" si="98"/>
        <v/>
      </c>
      <c r="GP49" s="74" t="str">
        <f t="shared" si="98"/>
        <v/>
      </c>
      <c r="GQ49" s="74" t="str">
        <f t="shared" si="98"/>
        <v/>
      </c>
      <c r="GR49" s="74" t="str">
        <f t="shared" si="98"/>
        <v/>
      </c>
      <c r="GS49" s="74" t="str">
        <f t="shared" si="98"/>
        <v/>
      </c>
      <c r="GT49" s="74" t="str">
        <f t="shared" si="98"/>
        <v/>
      </c>
      <c r="GU49" s="78" t="str">
        <f t="shared" si="98"/>
        <v/>
      </c>
      <c r="GV49" s="78" t="str">
        <f t="shared" si="98"/>
        <v/>
      </c>
      <c r="GW49" s="74" t="str">
        <f t="shared" ref="GW49:HH60" si="99">IF(AND(GW$5&gt;=$B49,GW$5&lt;=$C49),$D49,"")</f>
        <v/>
      </c>
      <c r="GX49" s="74" t="str">
        <f t="shared" si="99"/>
        <v/>
      </c>
      <c r="GY49" s="74" t="str">
        <f t="shared" si="99"/>
        <v/>
      </c>
      <c r="GZ49" s="74" t="str">
        <f t="shared" si="99"/>
        <v/>
      </c>
      <c r="HA49" s="74" t="str">
        <f t="shared" si="99"/>
        <v/>
      </c>
      <c r="HB49" s="78" t="str">
        <f t="shared" si="99"/>
        <v/>
      </c>
      <c r="HC49" s="78" t="str">
        <f t="shared" si="99"/>
        <v/>
      </c>
      <c r="HD49" s="74" t="str">
        <f t="shared" si="99"/>
        <v/>
      </c>
      <c r="HE49" s="74" t="str">
        <f t="shared" si="99"/>
        <v/>
      </c>
      <c r="HF49" s="74" t="str">
        <f t="shared" si="99"/>
        <v/>
      </c>
      <c r="HG49" s="74" t="str">
        <f t="shared" si="99"/>
        <v/>
      </c>
      <c r="HH49" s="74" t="str">
        <f t="shared" si="99"/>
        <v/>
      </c>
    </row>
    <row r="50" spans="1:216" x14ac:dyDescent="0.2">
      <c r="A50" s="82" t="str">
        <f>'FY1 Event Pipeline'!A5</f>
        <v>BRED X</v>
      </c>
      <c r="B50" s="83">
        <f>_xlfn.XLOOKUP(A50,'FY1 Event Pipeline'!$A$4:$A$15,'FY1 Event Pipeline'!$H$4:$H$15)</f>
        <v>46318</v>
      </c>
      <c r="C50" s="83">
        <f>_xlfn.XLOOKUP(A50,'FY1 Event Pipeline'!$A$4:$A$15,'FY1 Event Pipeline'!$J$4:$J$15)</f>
        <v>46339</v>
      </c>
      <c r="D50" s="84">
        <f>_xlfn.XLOOKUP(A50,'FY1 Event Pipeline'!$A$4:$A$15,'FY1 Event Pipeline'!$Q$4:$Q$15)</f>
        <v>0</v>
      </c>
      <c r="E50" s="74" t="str">
        <f t="shared" si="79"/>
        <v/>
      </c>
      <c r="F50" s="74" t="str">
        <f t="shared" si="79"/>
        <v/>
      </c>
      <c r="G50" s="78" t="str">
        <f t="shared" si="79"/>
        <v/>
      </c>
      <c r="H50" s="78" t="str">
        <f t="shared" si="79"/>
        <v/>
      </c>
      <c r="I50" s="74" t="str">
        <f t="shared" si="79"/>
        <v/>
      </c>
      <c r="J50" s="74" t="str">
        <f t="shared" si="79"/>
        <v/>
      </c>
      <c r="K50" s="74" t="str">
        <f t="shared" si="79"/>
        <v/>
      </c>
      <c r="L50" s="74" t="str">
        <f t="shared" si="79"/>
        <v/>
      </c>
      <c r="M50" s="74" t="str">
        <f t="shared" si="79"/>
        <v/>
      </c>
      <c r="N50" s="78" t="str">
        <f t="shared" si="79"/>
        <v/>
      </c>
      <c r="O50" s="78" t="str">
        <f t="shared" si="80"/>
        <v/>
      </c>
      <c r="P50" s="74" t="str">
        <f t="shared" si="80"/>
        <v/>
      </c>
      <c r="Q50" s="74" t="str">
        <f t="shared" si="80"/>
        <v/>
      </c>
      <c r="R50" s="74" t="str">
        <f t="shared" si="80"/>
        <v/>
      </c>
      <c r="S50" s="74" t="str">
        <f t="shared" si="80"/>
        <v/>
      </c>
      <c r="T50" s="74" t="str">
        <f t="shared" si="80"/>
        <v/>
      </c>
      <c r="U50" s="78" t="str">
        <f t="shared" si="80"/>
        <v/>
      </c>
      <c r="V50" s="78" t="str">
        <f t="shared" si="80"/>
        <v/>
      </c>
      <c r="W50" s="74" t="str">
        <f t="shared" si="80"/>
        <v/>
      </c>
      <c r="X50" s="74" t="str">
        <f t="shared" si="80"/>
        <v/>
      </c>
      <c r="Y50" s="74" t="str">
        <f t="shared" si="81"/>
        <v/>
      </c>
      <c r="Z50" s="74" t="str">
        <f t="shared" si="81"/>
        <v/>
      </c>
      <c r="AA50" s="75">
        <f t="shared" si="81"/>
        <v>0</v>
      </c>
      <c r="AB50" s="75">
        <f t="shared" si="81"/>
        <v>0</v>
      </c>
      <c r="AC50" s="75">
        <f t="shared" si="81"/>
        <v>0</v>
      </c>
      <c r="AD50" s="75">
        <f t="shared" si="81"/>
        <v>0</v>
      </c>
      <c r="AE50" s="75">
        <f t="shared" si="81"/>
        <v>0</v>
      </c>
      <c r="AF50" s="75">
        <f t="shared" si="81"/>
        <v>0</v>
      </c>
      <c r="AG50" s="75">
        <f t="shared" si="81"/>
        <v>0</v>
      </c>
      <c r="AH50" s="75">
        <f t="shared" si="81"/>
        <v>0</v>
      </c>
      <c r="AI50" s="75">
        <f t="shared" si="82"/>
        <v>0</v>
      </c>
      <c r="AJ50" s="75">
        <f t="shared" si="82"/>
        <v>0</v>
      </c>
      <c r="AK50" s="75">
        <f t="shared" si="82"/>
        <v>0</v>
      </c>
      <c r="AL50" s="75">
        <f t="shared" si="82"/>
        <v>0</v>
      </c>
      <c r="AM50" s="75">
        <f t="shared" si="82"/>
        <v>0</v>
      </c>
      <c r="AN50" s="75">
        <f t="shared" si="82"/>
        <v>0</v>
      </c>
      <c r="AO50" s="76">
        <f t="shared" si="82"/>
        <v>0</v>
      </c>
      <c r="AP50" s="76">
        <f t="shared" si="82"/>
        <v>0</v>
      </c>
      <c r="AQ50" s="76">
        <f t="shared" si="82"/>
        <v>0</v>
      </c>
      <c r="AR50" s="76">
        <f t="shared" si="82"/>
        <v>0</v>
      </c>
      <c r="AS50" s="76">
        <f t="shared" si="83"/>
        <v>0</v>
      </c>
      <c r="AT50" s="77">
        <f t="shared" si="83"/>
        <v>0</v>
      </c>
      <c r="AU50" s="77">
        <f t="shared" si="83"/>
        <v>0</v>
      </c>
      <c r="AV50" s="77">
        <f t="shared" si="83"/>
        <v>0</v>
      </c>
      <c r="AW50" s="78" t="str">
        <f t="shared" si="83"/>
        <v/>
      </c>
      <c r="AX50" s="78" t="str">
        <f t="shared" si="83"/>
        <v/>
      </c>
      <c r="AY50" s="74" t="str">
        <f t="shared" si="83"/>
        <v/>
      </c>
      <c r="AZ50" s="74" t="str">
        <f t="shared" si="83"/>
        <v/>
      </c>
      <c r="BA50" s="74" t="str">
        <f t="shared" si="83"/>
        <v/>
      </c>
      <c r="BB50" s="74" t="str">
        <f t="shared" si="83"/>
        <v/>
      </c>
      <c r="BC50" s="74" t="str">
        <f t="shared" si="84"/>
        <v/>
      </c>
      <c r="BD50" s="78" t="str">
        <f t="shared" si="84"/>
        <v/>
      </c>
      <c r="BE50" s="78" t="str">
        <f t="shared" si="84"/>
        <v/>
      </c>
      <c r="BF50" s="74" t="str">
        <f t="shared" si="84"/>
        <v/>
      </c>
      <c r="BG50" s="74" t="str">
        <f t="shared" si="84"/>
        <v/>
      </c>
      <c r="BH50" s="74" t="str">
        <f t="shared" si="84"/>
        <v/>
      </c>
      <c r="BI50" s="74" t="str">
        <f t="shared" si="84"/>
        <v/>
      </c>
      <c r="BJ50" s="74" t="str">
        <f t="shared" si="84"/>
        <v/>
      </c>
      <c r="BK50" s="78" t="str">
        <f t="shared" si="84"/>
        <v/>
      </c>
      <c r="BL50" s="78" t="str">
        <f t="shared" si="84"/>
        <v/>
      </c>
      <c r="BM50" s="74" t="str">
        <f t="shared" si="85"/>
        <v/>
      </c>
      <c r="BN50" s="74" t="str">
        <f t="shared" si="85"/>
        <v/>
      </c>
      <c r="BO50" s="74" t="str">
        <f t="shared" si="85"/>
        <v/>
      </c>
      <c r="BP50" s="74" t="str">
        <f t="shared" si="85"/>
        <v/>
      </c>
      <c r="BQ50" s="74" t="str">
        <f t="shared" si="85"/>
        <v/>
      </c>
      <c r="BR50" s="78" t="str">
        <f t="shared" si="85"/>
        <v/>
      </c>
      <c r="BS50" s="78" t="str">
        <f t="shared" si="85"/>
        <v/>
      </c>
      <c r="BT50" s="74" t="str">
        <f t="shared" si="85"/>
        <v/>
      </c>
      <c r="BU50" s="74" t="str">
        <f t="shared" si="85"/>
        <v/>
      </c>
      <c r="BV50" s="74" t="str">
        <f t="shared" si="85"/>
        <v/>
      </c>
      <c r="BW50" s="74" t="str">
        <f t="shared" si="86"/>
        <v/>
      </c>
      <c r="BX50" s="74" t="str">
        <f t="shared" si="86"/>
        <v/>
      </c>
      <c r="BY50" s="78" t="str">
        <f t="shared" si="86"/>
        <v/>
      </c>
      <c r="BZ50" s="78" t="str">
        <f t="shared" si="86"/>
        <v/>
      </c>
      <c r="CA50" s="74" t="str">
        <f t="shared" si="86"/>
        <v/>
      </c>
      <c r="CB50" s="74" t="str">
        <f t="shared" si="86"/>
        <v/>
      </c>
      <c r="CC50" s="74" t="str">
        <f t="shared" si="86"/>
        <v/>
      </c>
      <c r="CD50" s="74" t="str">
        <f t="shared" si="86"/>
        <v/>
      </c>
      <c r="CE50" s="74" t="str">
        <f t="shared" si="86"/>
        <v/>
      </c>
      <c r="CF50" s="78" t="str">
        <f t="shared" si="86"/>
        <v/>
      </c>
      <c r="CG50" s="78" t="str">
        <f t="shared" si="87"/>
        <v/>
      </c>
      <c r="CH50" s="74" t="str">
        <f t="shared" si="87"/>
        <v/>
      </c>
      <c r="CI50" s="74" t="str">
        <f t="shared" si="87"/>
        <v/>
      </c>
      <c r="CJ50" s="74" t="str">
        <f t="shared" si="87"/>
        <v/>
      </c>
      <c r="CK50" s="74" t="str">
        <f t="shared" si="87"/>
        <v/>
      </c>
      <c r="CL50" s="74" t="str">
        <f t="shared" si="87"/>
        <v/>
      </c>
      <c r="CM50" s="78" t="str">
        <f t="shared" si="87"/>
        <v/>
      </c>
      <c r="CN50" s="78" t="str">
        <f t="shared" si="87"/>
        <v/>
      </c>
      <c r="CO50" s="74" t="str">
        <f t="shared" si="87"/>
        <v/>
      </c>
      <c r="CP50" s="74" t="str">
        <f t="shared" si="87"/>
        <v/>
      </c>
      <c r="CQ50" s="74" t="str">
        <f t="shared" si="88"/>
        <v/>
      </c>
      <c r="CR50" s="74" t="str">
        <f t="shared" si="88"/>
        <v/>
      </c>
      <c r="CS50" s="74" t="str">
        <f t="shared" si="88"/>
        <v/>
      </c>
      <c r="CT50" s="78" t="str">
        <f t="shared" si="88"/>
        <v/>
      </c>
      <c r="CU50" s="78" t="str">
        <f t="shared" si="88"/>
        <v/>
      </c>
      <c r="CV50" s="74" t="str">
        <f t="shared" si="88"/>
        <v/>
      </c>
      <c r="CW50" s="74" t="str">
        <f t="shared" si="88"/>
        <v/>
      </c>
      <c r="CX50" s="74" t="str">
        <f t="shared" si="88"/>
        <v/>
      </c>
      <c r="CY50" s="74" t="str">
        <f t="shared" si="88"/>
        <v/>
      </c>
      <c r="CZ50" s="74" t="str">
        <f t="shared" si="88"/>
        <v/>
      </c>
      <c r="DA50" s="78" t="str">
        <f t="shared" si="89"/>
        <v/>
      </c>
      <c r="DB50" s="78" t="str">
        <f t="shared" si="89"/>
        <v/>
      </c>
      <c r="DC50" s="74" t="str">
        <f t="shared" si="89"/>
        <v/>
      </c>
      <c r="DD50" s="74" t="str">
        <f t="shared" si="89"/>
        <v/>
      </c>
      <c r="DE50" s="74" t="str">
        <f t="shared" si="89"/>
        <v/>
      </c>
      <c r="DF50" s="74" t="str">
        <f t="shared" si="89"/>
        <v/>
      </c>
      <c r="DG50" s="74" t="str">
        <f t="shared" si="89"/>
        <v/>
      </c>
      <c r="DH50" s="78" t="str">
        <f t="shared" si="89"/>
        <v/>
      </c>
      <c r="DI50" s="78" t="str">
        <f t="shared" si="89"/>
        <v/>
      </c>
      <c r="DJ50" s="74" t="str">
        <f t="shared" si="89"/>
        <v/>
      </c>
      <c r="DK50" s="74" t="str">
        <f t="shared" si="90"/>
        <v/>
      </c>
      <c r="DL50" s="74" t="str">
        <f t="shared" si="90"/>
        <v/>
      </c>
      <c r="DM50" s="74" t="str">
        <f t="shared" si="90"/>
        <v/>
      </c>
      <c r="DN50" s="74" t="str">
        <f t="shared" si="90"/>
        <v/>
      </c>
      <c r="DO50" s="78" t="str">
        <f t="shared" si="90"/>
        <v/>
      </c>
      <c r="DP50" s="78" t="str">
        <f t="shared" si="90"/>
        <v/>
      </c>
      <c r="DQ50" s="74" t="str">
        <f t="shared" si="90"/>
        <v/>
      </c>
      <c r="DR50" s="74" t="str">
        <f t="shared" si="90"/>
        <v/>
      </c>
      <c r="DS50" s="74" t="str">
        <f t="shared" si="90"/>
        <v/>
      </c>
      <c r="DT50" s="74" t="str">
        <f t="shared" si="90"/>
        <v/>
      </c>
      <c r="DU50" s="74" t="str">
        <f t="shared" si="91"/>
        <v/>
      </c>
      <c r="DV50" s="78" t="str">
        <f t="shared" si="91"/>
        <v/>
      </c>
      <c r="DW50" s="78" t="str">
        <f t="shared" si="91"/>
        <v/>
      </c>
      <c r="DX50" s="74" t="str">
        <f t="shared" si="91"/>
        <v/>
      </c>
      <c r="DY50" s="74" t="str">
        <f t="shared" si="91"/>
        <v/>
      </c>
      <c r="DZ50" s="74" t="str">
        <f t="shared" si="91"/>
        <v/>
      </c>
      <c r="EA50" s="74" t="str">
        <f t="shared" si="91"/>
        <v/>
      </c>
      <c r="EB50" s="74" t="str">
        <f t="shared" si="91"/>
        <v/>
      </c>
      <c r="EC50" s="78" t="str">
        <f t="shared" si="91"/>
        <v/>
      </c>
      <c r="ED50" s="78" t="str">
        <f t="shared" si="91"/>
        <v/>
      </c>
      <c r="EE50" s="74" t="str">
        <f t="shared" si="92"/>
        <v/>
      </c>
      <c r="EF50" s="74" t="str">
        <f t="shared" si="92"/>
        <v/>
      </c>
      <c r="EG50" s="74" t="str">
        <f t="shared" si="92"/>
        <v/>
      </c>
      <c r="EH50" s="74" t="str">
        <f t="shared" si="92"/>
        <v/>
      </c>
      <c r="EI50" s="74" t="str">
        <f t="shared" si="92"/>
        <v/>
      </c>
      <c r="EJ50" s="78" t="str">
        <f t="shared" si="92"/>
        <v/>
      </c>
      <c r="EK50" s="78" t="str">
        <f t="shared" si="92"/>
        <v/>
      </c>
      <c r="EL50" s="74" t="str">
        <f t="shared" si="92"/>
        <v/>
      </c>
      <c r="EM50" s="74" t="str">
        <f t="shared" si="92"/>
        <v/>
      </c>
      <c r="EN50" s="74" t="str">
        <f t="shared" si="92"/>
        <v/>
      </c>
      <c r="EO50" s="74" t="str">
        <f t="shared" si="93"/>
        <v/>
      </c>
      <c r="EP50" s="74" t="str">
        <f t="shared" si="93"/>
        <v/>
      </c>
      <c r="EQ50" s="78" t="str">
        <f t="shared" si="93"/>
        <v/>
      </c>
      <c r="ER50" s="78" t="str">
        <f t="shared" si="93"/>
        <v/>
      </c>
      <c r="ES50" s="74" t="str">
        <f t="shared" si="93"/>
        <v/>
      </c>
      <c r="ET50" s="74" t="str">
        <f t="shared" si="93"/>
        <v/>
      </c>
      <c r="EU50" s="74" t="str">
        <f t="shared" si="93"/>
        <v/>
      </c>
      <c r="EV50" s="74" t="str">
        <f t="shared" si="93"/>
        <v/>
      </c>
      <c r="EW50" s="74" t="str">
        <f t="shared" si="93"/>
        <v/>
      </c>
      <c r="EX50" s="78" t="str">
        <f t="shared" si="93"/>
        <v/>
      </c>
      <c r="EY50" s="78" t="str">
        <f t="shared" si="94"/>
        <v/>
      </c>
      <c r="EZ50" s="74" t="str">
        <f t="shared" si="94"/>
        <v/>
      </c>
      <c r="FA50" s="74" t="str">
        <f t="shared" si="94"/>
        <v/>
      </c>
      <c r="FB50" s="74" t="str">
        <f t="shared" si="94"/>
        <v/>
      </c>
      <c r="FC50" s="74" t="str">
        <f t="shared" si="94"/>
        <v/>
      </c>
      <c r="FD50" s="74" t="str">
        <f t="shared" si="94"/>
        <v/>
      </c>
      <c r="FE50" s="78" t="str">
        <f t="shared" si="94"/>
        <v/>
      </c>
      <c r="FF50" s="78" t="str">
        <f t="shared" si="94"/>
        <v/>
      </c>
      <c r="FG50" s="74" t="str">
        <f t="shared" si="94"/>
        <v/>
      </c>
      <c r="FH50" s="74" t="str">
        <f t="shared" si="94"/>
        <v/>
      </c>
      <c r="FI50" s="74" t="str">
        <f t="shared" si="95"/>
        <v/>
      </c>
      <c r="FJ50" s="74" t="str">
        <f t="shared" si="95"/>
        <v/>
      </c>
      <c r="FK50" s="74" t="str">
        <f t="shared" si="95"/>
        <v/>
      </c>
      <c r="FL50" s="78" t="str">
        <f t="shared" si="95"/>
        <v/>
      </c>
      <c r="FM50" s="78" t="str">
        <f t="shared" si="95"/>
        <v/>
      </c>
      <c r="FN50" s="74" t="str">
        <f t="shared" si="95"/>
        <v/>
      </c>
      <c r="FO50" s="74" t="str">
        <f t="shared" si="95"/>
        <v/>
      </c>
      <c r="FP50" s="74" t="str">
        <f t="shared" si="95"/>
        <v/>
      </c>
      <c r="FQ50" s="74" t="str">
        <f t="shared" si="95"/>
        <v/>
      </c>
      <c r="FR50" s="74" t="str">
        <f t="shared" si="95"/>
        <v/>
      </c>
      <c r="FS50" s="78" t="str">
        <f t="shared" si="96"/>
        <v/>
      </c>
      <c r="FT50" s="78" t="str">
        <f t="shared" si="96"/>
        <v/>
      </c>
      <c r="FU50" s="74" t="str">
        <f t="shared" si="96"/>
        <v/>
      </c>
      <c r="FV50" s="74" t="str">
        <f t="shared" si="96"/>
        <v/>
      </c>
      <c r="FW50" s="74" t="str">
        <f t="shared" si="96"/>
        <v/>
      </c>
      <c r="FX50" s="74" t="str">
        <f t="shared" si="96"/>
        <v/>
      </c>
      <c r="FY50" s="74" t="str">
        <f t="shared" si="96"/>
        <v/>
      </c>
      <c r="FZ50" s="78" t="str">
        <f t="shared" si="96"/>
        <v/>
      </c>
      <c r="GA50" s="78" t="str">
        <f t="shared" si="96"/>
        <v/>
      </c>
      <c r="GB50" s="74" t="str">
        <f t="shared" si="96"/>
        <v/>
      </c>
      <c r="GC50" s="74" t="str">
        <f t="shared" si="97"/>
        <v/>
      </c>
      <c r="GD50" s="74" t="str">
        <f t="shared" si="97"/>
        <v/>
      </c>
      <c r="GE50" s="74" t="str">
        <f t="shared" si="97"/>
        <v/>
      </c>
      <c r="GF50" s="74" t="str">
        <f t="shared" si="97"/>
        <v/>
      </c>
      <c r="GG50" s="78" t="str">
        <f t="shared" si="97"/>
        <v/>
      </c>
      <c r="GH50" s="78" t="str">
        <f t="shared" si="97"/>
        <v/>
      </c>
      <c r="GI50" s="74" t="str">
        <f t="shared" si="97"/>
        <v/>
      </c>
      <c r="GJ50" s="74" t="str">
        <f t="shared" si="97"/>
        <v/>
      </c>
      <c r="GK50" s="74" t="str">
        <f t="shared" si="97"/>
        <v/>
      </c>
      <c r="GL50" s="74" t="str">
        <f t="shared" si="97"/>
        <v/>
      </c>
      <c r="GM50" s="74" t="str">
        <f t="shared" si="98"/>
        <v/>
      </c>
      <c r="GN50" s="78" t="str">
        <f t="shared" si="98"/>
        <v/>
      </c>
      <c r="GO50" s="78" t="str">
        <f t="shared" si="98"/>
        <v/>
      </c>
      <c r="GP50" s="74" t="str">
        <f t="shared" si="98"/>
        <v/>
      </c>
      <c r="GQ50" s="74" t="str">
        <f t="shared" si="98"/>
        <v/>
      </c>
      <c r="GR50" s="74" t="str">
        <f t="shared" si="98"/>
        <v/>
      </c>
      <c r="GS50" s="74" t="str">
        <f t="shared" si="98"/>
        <v/>
      </c>
      <c r="GT50" s="74" t="str">
        <f t="shared" si="98"/>
        <v/>
      </c>
      <c r="GU50" s="78" t="str">
        <f t="shared" si="98"/>
        <v/>
      </c>
      <c r="GV50" s="78" t="str">
        <f t="shared" si="98"/>
        <v/>
      </c>
      <c r="GW50" s="74" t="str">
        <f t="shared" si="99"/>
        <v/>
      </c>
      <c r="GX50" s="74" t="str">
        <f t="shared" si="99"/>
        <v/>
      </c>
      <c r="GY50" s="74" t="str">
        <f t="shared" si="99"/>
        <v/>
      </c>
      <c r="GZ50" s="74" t="str">
        <f t="shared" si="99"/>
        <v/>
      </c>
      <c r="HA50" s="74" t="str">
        <f t="shared" si="99"/>
        <v/>
      </c>
      <c r="HB50" s="78" t="str">
        <f t="shared" si="99"/>
        <v/>
      </c>
      <c r="HC50" s="78" t="str">
        <f t="shared" si="99"/>
        <v/>
      </c>
      <c r="HD50" s="74" t="str">
        <f t="shared" si="99"/>
        <v/>
      </c>
      <c r="HE50" s="74" t="str">
        <f t="shared" si="99"/>
        <v/>
      </c>
      <c r="HF50" s="74" t="str">
        <f t="shared" si="99"/>
        <v/>
      </c>
      <c r="HG50" s="74" t="str">
        <f t="shared" si="99"/>
        <v/>
      </c>
      <c r="HH50" s="74" t="str">
        <f t="shared" si="99"/>
        <v/>
      </c>
    </row>
    <row r="51" spans="1:216" x14ac:dyDescent="0.2">
      <c r="A51" s="82" t="str">
        <f>'FY1 Event Pipeline'!A6</f>
        <v>MOTN DHA</v>
      </c>
      <c r="B51" s="83">
        <f>_xlfn.XLOOKUP(A51,'FY1 Event Pipeline'!$A$4:$A$15,'FY1 Event Pipeline'!$H$4:$H$15)</f>
        <v>46330</v>
      </c>
      <c r="C51" s="83">
        <f>_xlfn.XLOOKUP(A51,'FY1 Event Pipeline'!$A$4:$A$15,'FY1 Event Pipeline'!$J$4:$J$15)</f>
        <v>46352</v>
      </c>
      <c r="D51" s="84">
        <f>_xlfn.XLOOKUP(A51,'FY1 Event Pipeline'!$A$4:$A$15,'FY1 Event Pipeline'!$Q$4:$Q$15)</f>
        <v>550</v>
      </c>
      <c r="E51" s="74" t="str">
        <f t="shared" si="79"/>
        <v/>
      </c>
      <c r="F51" s="74" t="str">
        <f t="shared" si="79"/>
        <v/>
      </c>
      <c r="G51" s="78" t="str">
        <f t="shared" si="79"/>
        <v/>
      </c>
      <c r="H51" s="78" t="str">
        <f t="shared" si="79"/>
        <v/>
      </c>
      <c r="I51" s="74" t="str">
        <f t="shared" si="79"/>
        <v/>
      </c>
      <c r="J51" s="74" t="str">
        <f t="shared" si="79"/>
        <v/>
      </c>
      <c r="K51" s="74" t="str">
        <f t="shared" si="79"/>
        <v/>
      </c>
      <c r="L51" s="74" t="str">
        <f t="shared" si="79"/>
        <v/>
      </c>
      <c r="M51" s="74" t="str">
        <f t="shared" si="79"/>
        <v/>
      </c>
      <c r="N51" s="78" t="str">
        <f t="shared" si="79"/>
        <v/>
      </c>
      <c r="O51" s="78" t="str">
        <f t="shared" si="80"/>
        <v/>
      </c>
      <c r="P51" s="74" t="str">
        <f t="shared" si="80"/>
        <v/>
      </c>
      <c r="Q51" s="74" t="str">
        <f t="shared" si="80"/>
        <v/>
      </c>
      <c r="R51" s="74" t="str">
        <f t="shared" si="80"/>
        <v/>
      </c>
      <c r="S51" s="74" t="str">
        <f t="shared" si="80"/>
        <v/>
      </c>
      <c r="T51" s="74" t="str">
        <f t="shared" si="80"/>
        <v/>
      </c>
      <c r="U51" s="78" t="str">
        <f t="shared" si="80"/>
        <v/>
      </c>
      <c r="V51" s="78" t="str">
        <f t="shared" si="80"/>
        <v/>
      </c>
      <c r="W51" s="74" t="str">
        <f t="shared" si="80"/>
        <v/>
      </c>
      <c r="X51" s="74" t="str">
        <f t="shared" si="80"/>
        <v/>
      </c>
      <c r="Y51" s="74" t="str">
        <f t="shared" si="81"/>
        <v/>
      </c>
      <c r="Z51" s="74" t="str">
        <f t="shared" si="81"/>
        <v/>
      </c>
      <c r="AA51" s="74" t="str">
        <f t="shared" si="81"/>
        <v/>
      </c>
      <c r="AB51" s="78" t="str">
        <f t="shared" si="81"/>
        <v/>
      </c>
      <c r="AC51" s="78" t="str">
        <f t="shared" si="81"/>
        <v/>
      </c>
      <c r="AD51" s="74" t="str">
        <f t="shared" si="81"/>
        <v/>
      </c>
      <c r="AE51" s="74" t="str">
        <f t="shared" si="81"/>
        <v/>
      </c>
      <c r="AF51" s="74" t="str">
        <f t="shared" si="81"/>
        <v/>
      </c>
      <c r="AG51" s="74" t="str">
        <f t="shared" si="81"/>
        <v/>
      </c>
      <c r="AH51" s="74" t="str">
        <f t="shared" si="81"/>
        <v/>
      </c>
      <c r="AI51" s="78" t="str">
        <f t="shared" si="82"/>
        <v/>
      </c>
      <c r="AJ51" s="78" t="str">
        <f t="shared" si="82"/>
        <v/>
      </c>
      <c r="AK51" s="74" t="str">
        <f t="shared" si="82"/>
        <v/>
      </c>
      <c r="AL51" s="74" t="str">
        <f t="shared" si="82"/>
        <v/>
      </c>
      <c r="AM51" s="75">
        <f t="shared" si="82"/>
        <v>550</v>
      </c>
      <c r="AN51" s="75">
        <f t="shared" si="82"/>
        <v>550</v>
      </c>
      <c r="AO51" s="75">
        <f t="shared" si="82"/>
        <v>550</v>
      </c>
      <c r="AP51" s="75">
        <f t="shared" si="82"/>
        <v>550</v>
      </c>
      <c r="AQ51" s="75">
        <f t="shared" si="82"/>
        <v>550</v>
      </c>
      <c r="AR51" s="75">
        <f t="shared" si="82"/>
        <v>550</v>
      </c>
      <c r="AS51" s="75">
        <f t="shared" si="83"/>
        <v>550</v>
      </c>
      <c r="AT51" s="75">
        <f t="shared" si="83"/>
        <v>550</v>
      </c>
      <c r="AU51" s="75">
        <f t="shared" si="83"/>
        <v>550</v>
      </c>
      <c r="AV51" s="75">
        <f t="shared" si="83"/>
        <v>550</v>
      </c>
      <c r="AW51" s="75">
        <f t="shared" si="83"/>
        <v>550</v>
      </c>
      <c r="AX51" s="75">
        <f t="shared" si="83"/>
        <v>550</v>
      </c>
      <c r="AY51" s="75">
        <f t="shared" si="83"/>
        <v>550</v>
      </c>
      <c r="AZ51" s="75">
        <f t="shared" si="83"/>
        <v>550</v>
      </c>
      <c r="BA51" s="76">
        <f t="shared" si="83"/>
        <v>550</v>
      </c>
      <c r="BB51" s="76">
        <f t="shared" si="83"/>
        <v>550</v>
      </c>
      <c r="BC51" s="76">
        <f t="shared" si="84"/>
        <v>550</v>
      </c>
      <c r="BD51" s="76">
        <f t="shared" si="84"/>
        <v>550</v>
      </c>
      <c r="BE51" s="76">
        <f t="shared" si="84"/>
        <v>550</v>
      </c>
      <c r="BF51" s="76">
        <f t="shared" si="84"/>
        <v>550</v>
      </c>
      <c r="BG51" s="77">
        <f t="shared" si="84"/>
        <v>550</v>
      </c>
      <c r="BH51" s="77">
        <f t="shared" si="84"/>
        <v>550</v>
      </c>
      <c r="BI51" s="77">
        <f t="shared" si="84"/>
        <v>550</v>
      </c>
      <c r="BJ51" s="74" t="str">
        <f t="shared" si="84"/>
        <v/>
      </c>
      <c r="BK51" s="78" t="str">
        <f t="shared" si="84"/>
        <v/>
      </c>
      <c r="BL51" s="78" t="str">
        <f t="shared" si="84"/>
        <v/>
      </c>
      <c r="BM51" s="74" t="str">
        <f t="shared" si="85"/>
        <v/>
      </c>
      <c r="BN51" s="74" t="str">
        <f t="shared" si="85"/>
        <v/>
      </c>
      <c r="BO51" s="74" t="str">
        <f t="shared" si="85"/>
        <v/>
      </c>
      <c r="BP51" s="74" t="str">
        <f t="shared" si="85"/>
        <v/>
      </c>
      <c r="BQ51" s="74" t="str">
        <f t="shared" si="85"/>
        <v/>
      </c>
      <c r="BR51" s="78" t="str">
        <f t="shared" si="85"/>
        <v/>
      </c>
      <c r="BS51" s="78" t="str">
        <f t="shared" si="85"/>
        <v/>
      </c>
      <c r="BT51" s="74" t="str">
        <f t="shared" si="85"/>
        <v/>
      </c>
      <c r="BU51" s="74" t="str">
        <f t="shared" si="85"/>
        <v/>
      </c>
      <c r="BV51" s="74" t="str">
        <f t="shared" si="85"/>
        <v/>
      </c>
      <c r="BW51" s="74" t="str">
        <f t="shared" si="86"/>
        <v/>
      </c>
      <c r="BX51" s="74" t="str">
        <f t="shared" si="86"/>
        <v/>
      </c>
      <c r="BY51" s="78" t="str">
        <f t="shared" si="86"/>
        <v/>
      </c>
      <c r="BZ51" s="78" t="str">
        <f t="shared" si="86"/>
        <v/>
      </c>
      <c r="CA51" s="74" t="str">
        <f t="shared" si="86"/>
        <v/>
      </c>
      <c r="CB51" s="74" t="str">
        <f t="shared" si="86"/>
        <v/>
      </c>
      <c r="CC51" s="74" t="str">
        <f t="shared" si="86"/>
        <v/>
      </c>
      <c r="CD51" s="74" t="str">
        <f t="shared" si="86"/>
        <v/>
      </c>
      <c r="CE51" s="74" t="str">
        <f t="shared" si="86"/>
        <v/>
      </c>
      <c r="CF51" s="78" t="str">
        <f t="shared" si="86"/>
        <v/>
      </c>
      <c r="CG51" s="78" t="str">
        <f t="shared" si="87"/>
        <v/>
      </c>
      <c r="CH51" s="74" t="str">
        <f t="shared" si="87"/>
        <v/>
      </c>
      <c r="CI51" s="74" t="str">
        <f t="shared" si="87"/>
        <v/>
      </c>
      <c r="CJ51" s="74" t="str">
        <f t="shared" si="87"/>
        <v/>
      </c>
      <c r="CK51" s="74" t="str">
        <f t="shared" si="87"/>
        <v/>
      </c>
      <c r="CL51" s="74" t="str">
        <f t="shared" si="87"/>
        <v/>
      </c>
      <c r="CM51" s="78" t="str">
        <f t="shared" si="87"/>
        <v/>
      </c>
      <c r="CN51" s="78" t="str">
        <f t="shared" si="87"/>
        <v/>
      </c>
      <c r="CO51" s="74" t="str">
        <f t="shared" si="87"/>
        <v/>
      </c>
      <c r="CP51" s="74" t="str">
        <f t="shared" si="87"/>
        <v/>
      </c>
      <c r="CQ51" s="74" t="str">
        <f t="shared" si="88"/>
        <v/>
      </c>
      <c r="CR51" s="74" t="str">
        <f t="shared" si="88"/>
        <v/>
      </c>
      <c r="CS51" s="74" t="str">
        <f t="shared" si="88"/>
        <v/>
      </c>
      <c r="CT51" s="78" t="str">
        <f t="shared" si="88"/>
        <v/>
      </c>
      <c r="CU51" s="78" t="str">
        <f t="shared" si="88"/>
        <v/>
      </c>
      <c r="CV51" s="74" t="str">
        <f t="shared" si="88"/>
        <v/>
      </c>
      <c r="CW51" s="74" t="str">
        <f t="shared" si="88"/>
        <v/>
      </c>
      <c r="CX51" s="74" t="str">
        <f t="shared" si="88"/>
        <v/>
      </c>
      <c r="CY51" s="74" t="str">
        <f t="shared" si="88"/>
        <v/>
      </c>
      <c r="CZ51" s="74" t="str">
        <f t="shared" si="88"/>
        <v/>
      </c>
      <c r="DA51" s="78" t="str">
        <f t="shared" si="89"/>
        <v/>
      </c>
      <c r="DB51" s="78" t="str">
        <f t="shared" si="89"/>
        <v/>
      </c>
      <c r="DC51" s="74" t="str">
        <f t="shared" si="89"/>
        <v/>
      </c>
      <c r="DD51" s="74" t="str">
        <f t="shared" si="89"/>
        <v/>
      </c>
      <c r="DE51" s="74" t="str">
        <f t="shared" si="89"/>
        <v/>
      </c>
      <c r="DF51" s="74" t="str">
        <f t="shared" si="89"/>
        <v/>
      </c>
      <c r="DG51" s="74" t="str">
        <f t="shared" si="89"/>
        <v/>
      </c>
      <c r="DH51" s="78" t="str">
        <f t="shared" si="89"/>
        <v/>
      </c>
      <c r="DI51" s="78" t="str">
        <f t="shared" si="89"/>
        <v/>
      </c>
      <c r="DJ51" s="74" t="str">
        <f t="shared" si="89"/>
        <v/>
      </c>
      <c r="DK51" s="74" t="str">
        <f t="shared" si="90"/>
        <v/>
      </c>
      <c r="DL51" s="74" t="str">
        <f t="shared" si="90"/>
        <v/>
      </c>
      <c r="DM51" s="74" t="str">
        <f t="shared" si="90"/>
        <v/>
      </c>
      <c r="DN51" s="74" t="str">
        <f t="shared" si="90"/>
        <v/>
      </c>
      <c r="DO51" s="78" t="str">
        <f t="shared" si="90"/>
        <v/>
      </c>
      <c r="DP51" s="78" t="str">
        <f t="shared" si="90"/>
        <v/>
      </c>
      <c r="DQ51" s="74" t="str">
        <f t="shared" si="90"/>
        <v/>
      </c>
      <c r="DR51" s="74" t="str">
        <f t="shared" si="90"/>
        <v/>
      </c>
      <c r="DS51" s="74" t="str">
        <f t="shared" si="90"/>
        <v/>
      </c>
      <c r="DT51" s="74" t="str">
        <f t="shared" si="90"/>
        <v/>
      </c>
      <c r="DU51" s="74" t="str">
        <f t="shared" si="91"/>
        <v/>
      </c>
      <c r="DV51" s="78" t="str">
        <f t="shared" si="91"/>
        <v/>
      </c>
      <c r="DW51" s="78" t="str">
        <f t="shared" si="91"/>
        <v/>
      </c>
      <c r="DX51" s="74" t="str">
        <f t="shared" si="91"/>
        <v/>
      </c>
      <c r="DY51" s="74" t="str">
        <f t="shared" si="91"/>
        <v/>
      </c>
      <c r="DZ51" s="74" t="str">
        <f t="shared" si="91"/>
        <v/>
      </c>
      <c r="EA51" s="74" t="str">
        <f t="shared" si="91"/>
        <v/>
      </c>
      <c r="EB51" s="74" t="str">
        <f t="shared" si="91"/>
        <v/>
      </c>
      <c r="EC51" s="78" t="str">
        <f t="shared" si="91"/>
        <v/>
      </c>
      <c r="ED51" s="78" t="str">
        <f t="shared" si="91"/>
        <v/>
      </c>
      <c r="EE51" s="74" t="str">
        <f t="shared" si="92"/>
        <v/>
      </c>
      <c r="EF51" s="74" t="str">
        <f t="shared" si="92"/>
        <v/>
      </c>
      <c r="EG51" s="74" t="str">
        <f t="shared" si="92"/>
        <v/>
      </c>
      <c r="EH51" s="74" t="str">
        <f t="shared" si="92"/>
        <v/>
      </c>
      <c r="EI51" s="74" t="str">
        <f t="shared" si="92"/>
        <v/>
      </c>
      <c r="EJ51" s="78" t="str">
        <f t="shared" si="92"/>
        <v/>
      </c>
      <c r="EK51" s="78" t="str">
        <f t="shared" si="92"/>
        <v/>
      </c>
      <c r="EL51" s="74" t="str">
        <f t="shared" si="92"/>
        <v/>
      </c>
      <c r="EM51" s="74" t="str">
        <f t="shared" si="92"/>
        <v/>
      </c>
      <c r="EN51" s="74" t="str">
        <f t="shared" si="92"/>
        <v/>
      </c>
      <c r="EO51" s="74" t="str">
        <f t="shared" si="93"/>
        <v/>
      </c>
      <c r="EP51" s="74" t="str">
        <f t="shared" si="93"/>
        <v/>
      </c>
      <c r="EQ51" s="78" t="str">
        <f t="shared" si="93"/>
        <v/>
      </c>
      <c r="ER51" s="78" t="str">
        <f t="shared" si="93"/>
        <v/>
      </c>
      <c r="ES51" s="74" t="str">
        <f t="shared" si="93"/>
        <v/>
      </c>
      <c r="ET51" s="74" t="str">
        <f t="shared" si="93"/>
        <v/>
      </c>
      <c r="EU51" s="74" t="str">
        <f t="shared" si="93"/>
        <v/>
      </c>
      <c r="EV51" s="74" t="str">
        <f t="shared" si="93"/>
        <v/>
      </c>
      <c r="EW51" s="74" t="str">
        <f t="shared" si="93"/>
        <v/>
      </c>
      <c r="EX51" s="78" t="str">
        <f t="shared" si="93"/>
        <v/>
      </c>
      <c r="EY51" s="78" t="str">
        <f t="shared" si="94"/>
        <v/>
      </c>
      <c r="EZ51" s="74" t="str">
        <f t="shared" si="94"/>
        <v/>
      </c>
      <c r="FA51" s="74" t="str">
        <f t="shared" si="94"/>
        <v/>
      </c>
      <c r="FB51" s="74" t="str">
        <f t="shared" si="94"/>
        <v/>
      </c>
      <c r="FC51" s="74" t="str">
        <f t="shared" si="94"/>
        <v/>
      </c>
      <c r="FD51" s="74" t="str">
        <f t="shared" si="94"/>
        <v/>
      </c>
      <c r="FE51" s="78" t="str">
        <f t="shared" si="94"/>
        <v/>
      </c>
      <c r="FF51" s="78" t="str">
        <f t="shared" si="94"/>
        <v/>
      </c>
      <c r="FG51" s="74" t="str">
        <f t="shared" si="94"/>
        <v/>
      </c>
      <c r="FH51" s="74" t="str">
        <f t="shared" si="94"/>
        <v/>
      </c>
      <c r="FI51" s="74" t="str">
        <f t="shared" si="95"/>
        <v/>
      </c>
      <c r="FJ51" s="74" t="str">
        <f t="shared" si="95"/>
        <v/>
      </c>
      <c r="FK51" s="74" t="str">
        <f t="shared" si="95"/>
        <v/>
      </c>
      <c r="FL51" s="78" t="str">
        <f t="shared" si="95"/>
        <v/>
      </c>
      <c r="FM51" s="78" t="str">
        <f t="shared" si="95"/>
        <v/>
      </c>
      <c r="FN51" s="74" t="str">
        <f t="shared" si="95"/>
        <v/>
      </c>
      <c r="FO51" s="74" t="str">
        <f t="shared" si="95"/>
        <v/>
      </c>
      <c r="FP51" s="74" t="str">
        <f t="shared" si="95"/>
        <v/>
      </c>
      <c r="FQ51" s="74" t="str">
        <f t="shared" si="95"/>
        <v/>
      </c>
      <c r="FR51" s="74" t="str">
        <f t="shared" si="95"/>
        <v/>
      </c>
      <c r="FS51" s="78" t="str">
        <f t="shared" si="96"/>
        <v/>
      </c>
      <c r="FT51" s="78" t="str">
        <f t="shared" si="96"/>
        <v/>
      </c>
      <c r="FU51" s="74" t="str">
        <f t="shared" si="96"/>
        <v/>
      </c>
      <c r="FV51" s="74" t="str">
        <f t="shared" si="96"/>
        <v/>
      </c>
      <c r="FW51" s="74" t="str">
        <f t="shared" si="96"/>
        <v/>
      </c>
      <c r="FX51" s="74" t="str">
        <f t="shared" si="96"/>
        <v/>
      </c>
      <c r="FY51" s="74" t="str">
        <f t="shared" si="96"/>
        <v/>
      </c>
      <c r="FZ51" s="78" t="str">
        <f t="shared" si="96"/>
        <v/>
      </c>
      <c r="GA51" s="78" t="str">
        <f t="shared" si="96"/>
        <v/>
      </c>
      <c r="GB51" s="74" t="str">
        <f t="shared" si="96"/>
        <v/>
      </c>
      <c r="GC51" s="74" t="str">
        <f t="shared" si="97"/>
        <v/>
      </c>
      <c r="GD51" s="74" t="str">
        <f t="shared" si="97"/>
        <v/>
      </c>
      <c r="GE51" s="74" t="str">
        <f t="shared" si="97"/>
        <v/>
      </c>
      <c r="GF51" s="74" t="str">
        <f t="shared" si="97"/>
        <v/>
      </c>
      <c r="GG51" s="78" t="str">
        <f t="shared" si="97"/>
        <v/>
      </c>
      <c r="GH51" s="78" t="str">
        <f t="shared" si="97"/>
        <v/>
      </c>
      <c r="GI51" s="74" t="str">
        <f t="shared" si="97"/>
        <v/>
      </c>
      <c r="GJ51" s="74" t="str">
        <f t="shared" si="97"/>
        <v/>
      </c>
      <c r="GK51" s="74" t="str">
        <f t="shared" si="97"/>
        <v/>
      </c>
      <c r="GL51" s="74" t="str">
        <f t="shared" si="97"/>
        <v/>
      </c>
      <c r="GM51" s="74" t="str">
        <f t="shared" si="98"/>
        <v/>
      </c>
      <c r="GN51" s="78" t="str">
        <f t="shared" si="98"/>
        <v/>
      </c>
      <c r="GO51" s="78" t="str">
        <f t="shared" si="98"/>
        <v/>
      </c>
      <c r="GP51" s="74" t="str">
        <f t="shared" si="98"/>
        <v/>
      </c>
      <c r="GQ51" s="74" t="str">
        <f t="shared" si="98"/>
        <v/>
      </c>
      <c r="GR51" s="74" t="str">
        <f t="shared" si="98"/>
        <v/>
      </c>
      <c r="GS51" s="74" t="str">
        <f t="shared" si="98"/>
        <v/>
      </c>
      <c r="GT51" s="74" t="str">
        <f t="shared" si="98"/>
        <v/>
      </c>
      <c r="GU51" s="78" t="str">
        <f t="shared" si="98"/>
        <v/>
      </c>
      <c r="GV51" s="78" t="str">
        <f t="shared" si="98"/>
        <v/>
      </c>
      <c r="GW51" s="74" t="str">
        <f t="shared" si="99"/>
        <v/>
      </c>
      <c r="GX51" s="74" t="str">
        <f t="shared" si="99"/>
        <v/>
      </c>
      <c r="GY51" s="74" t="str">
        <f t="shared" si="99"/>
        <v/>
      </c>
      <c r="GZ51" s="74" t="str">
        <f t="shared" si="99"/>
        <v/>
      </c>
      <c r="HA51" s="74" t="str">
        <f t="shared" si="99"/>
        <v/>
      </c>
      <c r="HB51" s="78" t="str">
        <f t="shared" si="99"/>
        <v/>
      </c>
      <c r="HC51" s="78" t="str">
        <f t="shared" si="99"/>
        <v/>
      </c>
      <c r="HD51" s="74" t="str">
        <f t="shared" si="99"/>
        <v/>
      </c>
      <c r="HE51" s="74" t="str">
        <f t="shared" si="99"/>
        <v/>
      </c>
      <c r="HF51" s="74" t="str">
        <f t="shared" si="99"/>
        <v/>
      </c>
      <c r="HG51" s="74" t="str">
        <f t="shared" si="99"/>
        <v/>
      </c>
      <c r="HH51" s="74" t="str">
        <f t="shared" si="99"/>
        <v/>
      </c>
    </row>
    <row r="52" spans="1:216" x14ac:dyDescent="0.2">
      <c r="A52" s="82" t="str">
        <f>'FY1 Event Pipeline'!A7</f>
        <v>No Art UAE</v>
      </c>
      <c r="B52" s="83">
        <f>_xlfn.XLOOKUP(A52,'FY1 Event Pipeline'!$A$4:$A$15,'FY1 Event Pipeline'!$H$4:$H$15)</f>
        <v>46332</v>
      </c>
      <c r="C52" s="83">
        <f>_xlfn.XLOOKUP(A52,'FY1 Event Pipeline'!$A$4:$A$15,'FY1 Event Pipeline'!$J$4:$J$15)</f>
        <v>46353</v>
      </c>
      <c r="D52" s="84">
        <f>_xlfn.XLOOKUP(A52,'FY1 Event Pipeline'!$A$4:$A$15,'FY1 Event Pipeline'!$Q$4:$Q$15)</f>
        <v>0</v>
      </c>
      <c r="E52" s="74" t="str">
        <f t="shared" si="79"/>
        <v/>
      </c>
      <c r="F52" s="74" t="str">
        <f t="shared" si="79"/>
        <v/>
      </c>
      <c r="G52" s="78" t="str">
        <f t="shared" si="79"/>
        <v/>
      </c>
      <c r="H52" s="78" t="str">
        <f t="shared" si="79"/>
        <v/>
      </c>
      <c r="I52" s="74" t="str">
        <f t="shared" si="79"/>
        <v/>
      </c>
      <c r="J52" s="74" t="str">
        <f t="shared" si="79"/>
        <v/>
      </c>
      <c r="K52" s="74" t="str">
        <f t="shared" si="79"/>
        <v/>
      </c>
      <c r="L52" s="74" t="str">
        <f t="shared" si="79"/>
        <v/>
      </c>
      <c r="M52" s="74" t="str">
        <f t="shared" si="79"/>
        <v/>
      </c>
      <c r="N52" s="78" t="str">
        <f t="shared" si="79"/>
        <v/>
      </c>
      <c r="O52" s="78" t="str">
        <f t="shared" si="80"/>
        <v/>
      </c>
      <c r="P52" s="74" t="str">
        <f t="shared" si="80"/>
        <v/>
      </c>
      <c r="Q52" s="74" t="str">
        <f t="shared" si="80"/>
        <v/>
      </c>
      <c r="R52" s="74" t="str">
        <f t="shared" si="80"/>
        <v/>
      </c>
      <c r="S52" s="74" t="str">
        <f t="shared" si="80"/>
        <v/>
      </c>
      <c r="T52" s="74" t="str">
        <f t="shared" si="80"/>
        <v/>
      </c>
      <c r="U52" s="78" t="str">
        <f t="shared" si="80"/>
        <v/>
      </c>
      <c r="V52" s="78" t="str">
        <f t="shared" si="80"/>
        <v/>
      </c>
      <c r="W52" s="74" t="str">
        <f t="shared" si="80"/>
        <v/>
      </c>
      <c r="X52" s="74" t="str">
        <f t="shared" si="80"/>
        <v/>
      </c>
      <c r="Y52" s="74" t="str">
        <f t="shared" si="81"/>
        <v/>
      </c>
      <c r="Z52" s="74" t="str">
        <f t="shared" si="81"/>
        <v/>
      </c>
      <c r="AA52" s="74" t="str">
        <f t="shared" si="81"/>
        <v/>
      </c>
      <c r="AB52" s="78" t="str">
        <f t="shared" si="81"/>
        <v/>
      </c>
      <c r="AC52" s="78" t="str">
        <f t="shared" si="81"/>
        <v/>
      </c>
      <c r="AD52" s="74" t="str">
        <f t="shared" si="81"/>
        <v/>
      </c>
      <c r="AE52" s="74" t="str">
        <f t="shared" si="81"/>
        <v/>
      </c>
      <c r="AF52" s="74" t="str">
        <f t="shared" si="81"/>
        <v/>
      </c>
      <c r="AG52" s="74" t="str">
        <f t="shared" si="81"/>
        <v/>
      </c>
      <c r="AH52" s="74" t="str">
        <f t="shared" si="81"/>
        <v/>
      </c>
      <c r="AI52" s="78" t="str">
        <f t="shared" si="82"/>
        <v/>
      </c>
      <c r="AJ52" s="78" t="str">
        <f t="shared" si="82"/>
        <v/>
      </c>
      <c r="AK52" s="74" t="str">
        <f t="shared" si="82"/>
        <v/>
      </c>
      <c r="AL52" s="74" t="str">
        <f t="shared" si="82"/>
        <v/>
      </c>
      <c r="AM52" s="74" t="str">
        <f t="shared" si="82"/>
        <v/>
      </c>
      <c r="AN52" s="74" t="str">
        <f t="shared" si="82"/>
        <v/>
      </c>
      <c r="AO52" s="75">
        <f t="shared" si="82"/>
        <v>0</v>
      </c>
      <c r="AP52" s="75">
        <f t="shared" si="82"/>
        <v>0</v>
      </c>
      <c r="AQ52" s="75">
        <f t="shared" si="82"/>
        <v>0</v>
      </c>
      <c r="AR52" s="75">
        <f t="shared" si="82"/>
        <v>0</v>
      </c>
      <c r="AS52" s="75">
        <f t="shared" si="83"/>
        <v>0</v>
      </c>
      <c r="AT52" s="75">
        <f t="shared" si="83"/>
        <v>0</v>
      </c>
      <c r="AU52" s="75">
        <f t="shared" si="83"/>
        <v>0</v>
      </c>
      <c r="AV52" s="75">
        <f t="shared" si="83"/>
        <v>0</v>
      </c>
      <c r="AW52" s="75">
        <f t="shared" si="83"/>
        <v>0</v>
      </c>
      <c r="AX52" s="75">
        <f t="shared" si="83"/>
        <v>0</v>
      </c>
      <c r="AY52" s="75">
        <f t="shared" si="83"/>
        <v>0</v>
      </c>
      <c r="AZ52" s="75">
        <f t="shared" si="83"/>
        <v>0</v>
      </c>
      <c r="BA52" s="75">
        <f t="shared" si="83"/>
        <v>0</v>
      </c>
      <c r="BB52" s="75">
        <f t="shared" si="83"/>
        <v>0</v>
      </c>
      <c r="BC52" s="76">
        <f t="shared" si="84"/>
        <v>0</v>
      </c>
      <c r="BD52" s="76">
        <f t="shared" si="84"/>
        <v>0</v>
      </c>
      <c r="BE52" s="76">
        <f t="shared" si="84"/>
        <v>0</v>
      </c>
      <c r="BF52" s="76">
        <f t="shared" si="84"/>
        <v>0</v>
      </c>
      <c r="BG52" s="76">
        <f t="shared" si="84"/>
        <v>0</v>
      </c>
      <c r="BH52" s="77">
        <f t="shared" si="84"/>
        <v>0</v>
      </c>
      <c r="BI52" s="77">
        <f t="shared" si="84"/>
        <v>0</v>
      </c>
      <c r="BJ52" s="77">
        <f t="shared" si="84"/>
        <v>0</v>
      </c>
      <c r="BK52" s="78" t="str">
        <f t="shared" si="84"/>
        <v/>
      </c>
      <c r="BL52" s="78" t="str">
        <f t="shared" si="84"/>
        <v/>
      </c>
      <c r="BM52" s="74" t="str">
        <f t="shared" si="85"/>
        <v/>
      </c>
      <c r="BN52" s="74" t="str">
        <f t="shared" si="85"/>
        <v/>
      </c>
      <c r="BO52" s="74" t="str">
        <f t="shared" si="85"/>
        <v/>
      </c>
      <c r="BP52" s="74" t="str">
        <f t="shared" si="85"/>
        <v/>
      </c>
      <c r="BQ52" s="74" t="str">
        <f t="shared" si="85"/>
        <v/>
      </c>
      <c r="BR52" s="78" t="str">
        <f t="shared" si="85"/>
        <v/>
      </c>
      <c r="BS52" s="78" t="str">
        <f t="shared" si="85"/>
        <v/>
      </c>
      <c r="BT52" s="74" t="str">
        <f t="shared" si="85"/>
        <v/>
      </c>
      <c r="BU52" s="74" t="str">
        <f t="shared" si="85"/>
        <v/>
      </c>
      <c r="BV52" s="74" t="str">
        <f t="shared" si="85"/>
        <v/>
      </c>
      <c r="BW52" s="74" t="str">
        <f t="shared" si="86"/>
        <v/>
      </c>
      <c r="BX52" s="74" t="str">
        <f t="shared" si="86"/>
        <v/>
      </c>
      <c r="BY52" s="78" t="str">
        <f t="shared" si="86"/>
        <v/>
      </c>
      <c r="BZ52" s="78" t="str">
        <f t="shared" si="86"/>
        <v/>
      </c>
      <c r="CA52" s="74" t="str">
        <f t="shared" si="86"/>
        <v/>
      </c>
      <c r="CB52" s="74" t="str">
        <f t="shared" si="86"/>
        <v/>
      </c>
      <c r="CC52" s="74" t="str">
        <f t="shared" si="86"/>
        <v/>
      </c>
      <c r="CD52" s="74" t="str">
        <f t="shared" si="86"/>
        <v/>
      </c>
      <c r="CE52" s="74" t="str">
        <f t="shared" si="86"/>
        <v/>
      </c>
      <c r="CF52" s="78" t="str">
        <f t="shared" si="86"/>
        <v/>
      </c>
      <c r="CG52" s="78" t="str">
        <f t="shared" si="87"/>
        <v/>
      </c>
      <c r="CH52" s="74" t="str">
        <f t="shared" si="87"/>
        <v/>
      </c>
      <c r="CI52" s="74" t="str">
        <f t="shared" si="87"/>
        <v/>
      </c>
      <c r="CJ52" s="74" t="str">
        <f t="shared" si="87"/>
        <v/>
      </c>
      <c r="CK52" s="74" t="str">
        <f t="shared" si="87"/>
        <v/>
      </c>
      <c r="CL52" s="74" t="str">
        <f t="shared" si="87"/>
        <v/>
      </c>
      <c r="CM52" s="78" t="str">
        <f t="shared" si="87"/>
        <v/>
      </c>
      <c r="CN52" s="78" t="str">
        <f t="shared" si="87"/>
        <v/>
      </c>
      <c r="CO52" s="74" t="str">
        <f t="shared" si="87"/>
        <v/>
      </c>
      <c r="CP52" s="74" t="str">
        <f t="shared" si="87"/>
        <v/>
      </c>
      <c r="CQ52" s="74" t="str">
        <f t="shared" si="88"/>
        <v/>
      </c>
      <c r="CR52" s="74" t="str">
        <f t="shared" si="88"/>
        <v/>
      </c>
      <c r="CS52" s="74" t="str">
        <f t="shared" si="88"/>
        <v/>
      </c>
      <c r="CT52" s="78" t="str">
        <f t="shared" si="88"/>
        <v/>
      </c>
      <c r="CU52" s="78" t="str">
        <f t="shared" si="88"/>
        <v/>
      </c>
      <c r="CV52" s="74" t="str">
        <f t="shared" si="88"/>
        <v/>
      </c>
      <c r="CW52" s="74" t="str">
        <f t="shared" si="88"/>
        <v/>
      </c>
      <c r="CX52" s="74" t="str">
        <f t="shared" si="88"/>
        <v/>
      </c>
      <c r="CY52" s="74" t="str">
        <f t="shared" si="88"/>
        <v/>
      </c>
      <c r="CZ52" s="74" t="str">
        <f t="shared" si="88"/>
        <v/>
      </c>
      <c r="DA52" s="78" t="str">
        <f t="shared" si="89"/>
        <v/>
      </c>
      <c r="DB52" s="78" t="str">
        <f t="shared" si="89"/>
        <v/>
      </c>
      <c r="DC52" s="74" t="str">
        <f t="shared" si="89"/>
        <v/>
      </c>
      <c r="DD52" s="74" t="str">
        <f t="shared" si="89"/>
        <v/>
      </c>
      <c r="DE52" s="74" t="str">
        <f t="shared" si="89"/>
        <v/>
      </c>
      <c r="DF52" s="74" t="str">
        <f t="shared" si="89"/>
        <v/>
      </c>
      <c r="DG52" s="74" t="str">
        <f t="shared" si="89"/>
        <v/>
      </c>
      <c r="DH52" s="78" t="str">
        <f t="shared" si="89"/>
        <v/>
      </c>
      <c r="DI52" s="78" t="str">
        <f t="shared" si="89"/>
        <v/>
      </c>
      <c r="DJ52" s="74" t="str">
        <f t="shared" si="89"/>
        <v/>
      </c>
      <c r="DK52" s="74" t="str">
        <f t="shared" si="90"/>
        <v/>
      </c>
      <c r="DL52" s="74" t="str">
        <f t="shared" si="90"/>
        <v/>
      </c>
      <c r="DM52" s="74" t="str">
        <f t="shared" si="90"/>
        <v/>
      </c>
      <c r="DN52" s="74" t="str">
        <f t="shared" si="90"/>
        <v/>
      </c>
      <c r="DO52" s="78" t="str">
        <f t="shared" si="90"/>
        <v/>
      </c>
      <c r="DP52" s="78" t="str">
        <f t="shared" si="90"/>
        <v/>
      </c>
      <c r="DQ52" s="74" t="str">
        <f t="shared" si="90"/>
        <v/>
      </c>
      <c r="DR52" s="74" t="str">
        <f t="shared" si="90"/>
        <v/>
      </c>
      <c r="DS52" s="74" t="str">
        <f t="shared" si="90"/>
        <v/>
      </c>
      <c r="DT52" s="74" t="str">
        <f t="shared" si="90"/>
        <v/>
      </c>
      <c r="DU52" s="74" t="str">
        <f t="shared" si="91"/>
        <v/>
      </c>
      <c r="DV52" s="78" t="str">
        <f t="shared" si="91"/>
        <v/>
      </c>
      <c r="DW52" s="78" t="str">
        <f t="shared" si="91"/>
        <v/>
      </c>
      <c r="DX52" s="74" t="str">
        <f t="shared" si="91"/>
        <v/>
      </c>
      <c r="DY52" s="74" t="str">
        <f t="shared" si="91"/>
        <v/>
      </c>
      <c r="DZ52" s="74" t="str">
        <f t="shared" si="91"/>
        <v/>
      </c>
      <c r="EA52" s="74" t="str">
        <f t="shared" si="91"/>
        <v/>
      </c>
      <c r="EB52" s="74" t="str">
        <f t="shared" si="91"/>
        <v/>
      </c>
      <c r="EC52" s="78" t="str">
        <f t="shared" si="91"/>
        <v/>
      </c>
      <c r="ED52" s="78" t="str">
        <f t="shared" si="91"/>
        <v/>
      </c>
      <c r="EE52" s="74" t="str">
        <f t="shared" si="92"/>
        <v/>
      </c>
      <c r="EF52" s="74" t="str">
        <f t="shared" si="92"/>
        <v/>
      </c>
      <c r="EG52" s="74" t="str">
        <f t="shared" si="92"/>
        <v/>
      </c>
      <c r="EH52" s="74" t="str">
        <f t="shared" si="92"/>
        <v/>
      </c>
      <c r="EI52" s="74" t="str">
        <f t="shared" si="92"/>
        <v/>
      </c>
      <c r="EJ52" s="78" t="str">
        <f t="shared" si="92"/>
        <v/>
      </c>
      <c r="EK52" s="78" t="str">
        <f t="shared" si="92"/>
        <v/>
      </c>
      <c r="EL52" s="74" t="str">
        <f t="shared" si="92"/>
        <v/>
      </c>
      <c r="EM52" s="74" t="str">
        <f t="shared" si="92"/>
        <v/>
      </c>
      <c r="EN52" s="74" t="str">
        <f t="shared" si="92"/>
        <v/>
      </c>
      <c r="EO52" s="74" t="str">
        <f t="shared" si="93"/>
        <v/>
      </c>
      <c r="EP52" s="74" t="str">
        <f t="shared" si="93"/>
        <v/>
      </c>
      <c r="EQ52" s="78" t="str">
        <f t="shared" si="93"/>
        <v/>
      </c>
      <c r="ER52" s="78" t="str">
        <f t="shared" si="93"/>
        <v/>
      </c>
      <c r="ES52" s="74" t="str">
        <f t="shared" si="93"/>
        <v/>
      </c>
      <c r="ET52" s="74" t="str">
        <f t="shared" si="93"/>
        <v/>
      </c>
      <c r="EU52" s="74" t="str">
        <f t="shared" si="93"/>
        <v/>
      </c>
      <c r="EV52" s="74" t="str">
        <f t="shared" si="93"/>
        <v/>
      </c>
      <c r="EW52" s="74" t="str">
        <f t="shared" si="93"/>
        <v/>
      </c>
      <c r="EX52" s="78" t="str">
        <f t="shared" si="93"/>
        <v/>
      </c>
      <c r="EY52" s="78" t="str">
        <f t="shared" si="94"/>
        <v/>
      </c>
      <c r="EZ52" s="74" t="str">
        <f t="shared" si="94"/>
        <v/>
      </c>
      <c r="FA52" s="74" t="str">
        <f t="shared" si="94"/>
        <v/>
      </c>
      <c r="FB52" s="74" t="str">
        <f t="shared" si="94"/>
        <v/>
      </c>
      <c r="FC52" s="74" t="str">
        <f t="shared" si="94"/>
        <v/>
      </c>
      <c r="FD52" s="74" t="str">
        <f t="shared" si="94"/>
        <v/>
      </c>
      <c r="FE52" s="78" t="str">
        <f t="shared" si="94"/>
        <v/>
      </c>
      <c r="FF52" s="78" t="str">
        <f t="shared" si="94"/>
        <v/>
      </c>
      <c r="FG52" s="74" t="str">
        <f t="shared" si="94"/>
        <v/>
      </c>
      <c r="FH52" s="74" t="str">
        <f t="shared" si="94"/>
        <v/>
      </c>
      <c r="FI52" s="74" t="str">
        <f t="shared" si="95"/>
        <v/>
      </c>
      <c r="FJ52" s="74" t="str">
        <f t="shared" si="95"/>
        <v/>
      </c>
      <c r="FK52" s="74" t="str">
        <f t="shared" si="95"/>
        <v/>
      </c>
      <c r="FL52" s="78" t="str">
        <f t="shared" si="95"/>
        <v/>
      </c>
      <c r="FM52" s="78" t="str">
        <f t="shared" si="95"/>
        <v/>
      </c>
      <c r="FN52" s="74" t="str">
        <f t="shared" si="95"/>
        <v/>
      </c>
      <c r="FO52" s="74" t="str">
        <f t="shared" si="95"/>
        <v/>
      </c>
      <c r="FP52" s="74" t="str">
        <f t="shared" si="95"/>
        <v/>
      </c>
      <c r="FQ52" s="74" t="str">
        <f t="shared" si="95"/>
        <v/>
      </c>
      <c r="FR52" s="74" t="str">
        <f t="shared" si="95"/>
        <v/>
      </c>
      <c r="FS52" s="78" t="str">
        <f t="shared" si="96"/>
        <v/>
      </c>
      <c r="FT52" s="78" t="str">
        <f t="shared" si="96"/>
        <v/>
      </c>
      <c r="FU52" s="74" t="str">
        <f t="shared" si="96"/>
        <v/>
      </c>
      <c r="FV52" s="74" t="str">
        <f t="shared" si="96"/>
        <v/>
      </c>
      <c r="FW52" s="74" t="str">
        <f t="shared" si="96"/>
        <v/>
      </c>
      <c r="FX52" s="74" t="str">
        <f t="shared" si="96"/>
        <v/>
      </c>
      <c r="FY52" s="74" t="str">
        <f t="shared" si="96"/>
        <v/>
      </c>
      <c r="FZ52" s="78" t="str">
        <f t="shared" si="96"/>
        <v/>
      </c>
      <c r="GA52" s="78" t="str">
        <f t="shared" si="96"/>
        <v/>
      </c>
      <c r="GB52" s="74" t="str">
        <f t="shared" si="96"/>
        <v/>
      </c>
      <c r="GC52" s="74" t="str">
        <f t="shared" si="97"/>
        <v/>
      </c>
      <c r="GD52" s="74" t="str">
        <f t="shared" si="97"/>
        <v/>
      </c>
      <c r="GE52" s="74" t="str">
        <f t="shared" si="97"/>
        <v/>
      </c>
      <c r="GF52" s="74" t="str">
        <f t="shared" si="97"/>
        <v/>
      </c>
      <c r="GG52" s="78" t="str">
        <f t="shared" si="97"/>
        <v/>
      </c>
      <c r="GH52" s="78" t="str">
        <f t="shared" si="97"/>
        <v/>
      </c>
      <c r="GI52" s="74" t="str">
        <f t="shared" si="97"/>
        <v/>
      </c>
      <c r="GJ52" s="74" t="str">
        <f t="shared" si="97"/>
        <v/>
      </c>
      <c r="GK52" s="74" t="str">
        <f t="shared" si="97"/>
        <v/>
      </c>
      <c r="GL52" s="74" t="str">
        <f t="shared" si="97"/>
        <v/>
      </c>
      <c r="GM52" s="74" t="str">
        <f t="shared" si="98"/>
        <v/>
      </c>
      <c r="GN52" s="78" t="str">
        <f t="shared" si="98"/>
        <v/>
      </c>
      <c r="GO52" s="78" t="str">
        <f t="shared" si="98"/>
        <v/>
      </c>
      <c r="GP52" s="74" t="str">
        <f t="shared" si="98"/>
        <v/>
      </c>
      <c r="GQ52" s="74" t="str">
        <f t="shared" si="98"/>
        <v/>
      </c>
      <c r="GR52" s="74" t="str">
        <f t="shared" si="98"/>
        <v/>
      </c>
      <c r="GS52" s="74" t="str">
        <f t="shared" si="98"/>
        <v/>
      </c>
      <c r="GT52" s="74" t="str">
        <f t="shared" si="98"/>
        <v/>
      </c>
      <c r="GU52" s="78" t="str">
        <f t="shared" si="98"/>
        <v/>
      </c>
      <c r="GV52" s="78" t="str">
        <f t="shared" si="98"/>
        <v/>
      </c>
      <c r="GW52" s="74" t="str">
        <f t="shared" si="99"/>
        <v/>
      </c>
      <c r="GX52" s="74" t="str">
        <f t="shared" si="99"/>
        <v/>
      </c>
      <c r="GY52" s="74" t="str">
        <f t="shared" si="99"/>
        <v/>
      </c>
      <c r="GZ52" s="74" t="str">
        <f t="shared" si="99"/>
        <v/>
      </c>
      <c r="HA52" s="74" t="str">
        <f t="shared" si="99"/>
        <v/>
      </c>
      <c r="HB52" s="78" t="str">
        <f t="shared" si="99"/>
        <v/>
      </c>
      <c r="HC52" s="78" t="str">
        <f t="shared" si="99"/>
        <v/>
      </c>
      <c r="HD52" s="74" t="str">
        <f t="shared" si="99"/>
        <v/>
      </c>
      <c r="HE52" s="74" t="str">
        <f t="shared" si="99"/>
        <v/>
      </c>
      <c r="HF52" s="74" t="str">
        <f t="shared" si="99"/>
        <v/>
      </c>
      <c r="HG52" s="74" t="str">
        <f t="shared" si="99"/>
        <v/>
      </c>
      <c r="HH52" s="74" t="str">
        <f t="shared" si="99"/>
        <v/>
      </c>
    </row>
    <row r="53" spans="1:216" x14ac:dyDescent="0.2">
      <c r="A53" s="82" t="str">
        <f>'FY1 Event Pipeline'!A8</f>
        <v>Tanweer Festival</v>
      </c>
      <c r="B53" s="83">
        <f>_xlfn.XLOOKUP(A53,'FY1 Event Pipeline'!$A$4:$A$15,'FY1 Event Pipeline'!$H$4:$H$15)</f>
        <v>46340</v>
      </c>
      <c r="C53" s="83">
        <f>_xlfn.XLOOKUP(A53,'FY1 Event Pipeline'!$A$4:$A$15,'FY1 Event Pipeline'!$J$4:$J$15)</f>
        <v>46352</v>
      </c>
      <c r="D53" s="84">
        <f>_xlfn.XLOOKUP(A53,'FY1 Event Pipeline'!$A$4:$A$15,'FY1 Event Pipeline'!$Q$4:$Q$15)</f>
        <v>50</v>
      </c>
      <c r="E53" s="74" t="str">
        <f t="shared" si="79"/>
        <v/>
      </c>
      <c r="F53" s="74" t="str">
        <f t="shared" si="79"/>
        <v/>
      </c>
      <c r="G53" s="78" t="str">
        <f t="shared" si="79"/>
        <v/>
      </c>
      <c r="H53" s="78" t="str">
        <f t="shared" si="79"/>
        <v/>
      </c>
      <c r="I53" s="74" t="str">
        <f t="shared" si="79"/>
        <v/>
      </c>
      <c r="J53" s="74" t="str">
        <f t="shared" si="79"/>
        <v/>
      </c>
      <c r="K53" s="74" t="str">
        <f t="shared" si="79"/>
        <v/>
      </c>
      <c r="L53" s="74" t="str">
        <f t="shared" si="79"/>
        <v/>
      </c>
      <c r="M53" s="74" t="str">
        <f t="shared" si="79"/>
        <v/>
      </c>
      <c r="N53" s="78" t="str">
        <f t="shared" si="79"/>
        <v/>
      </c>
      <c r="O53" s="78" t="str">
        <f t="shared" si="80"/>
        <v/>
      </c>
      <c r="P53" s="74" t="str">
        <f t="shared" si="80"/>
        <v/>
      </c>
      <c r="Q53" s="74" t="str">
        <f t="shared" si="80"/>
        <v/>
      </c>
      <c r="R53" s="74" t="str">
        <f t="shared" si="80"/>
        <v/>
      </c>
      <c r="S53" s="74" t="str">
        <f t="shared" si="80"/>
        <v/>
      </c>
      <c r="T53" s="74" t="str">
        <f t="shared" si="80"/>
        <v/>
      </c>
      <c r="U53" s="78" t="str">
        <f t="shared" si="80"/>
        <v/>
      </c>
      <c r="V53" s="78" t="str">
        <f t="shared" si="80"/>
        <v/>
      </c>
      <c r="W53" s="74" t="str">
        <f t="shared" si="80"/>
        <v/>
      </c>
      <c r="X53" s="74" t="str">
        <f t="shared" si="80"/>
        <v/>
      </c>
      <c r="Y53" s="74" t="str">
        <f t="shared" si="81"/>
        <v/>
      </c>
      <c r="Z53" s="74" t="str">
        <f t="shared" si="81"/>
        <v/>
      </c>
      <c r="AA53" s="74" t="str">
        <f t="shared" si="81"/>
        <v/>
      </c>
      <c r="AB53" s="78" t="str">
        <f t="shared" si="81"/>
        <v/>
      </c>
      <c r="AC53" s="78" t="str">
        <f t="shared" si="81"/>
        <v/>
      </c>
      <c r="AD53" s="74" t="str">
        <f t="shared" si="81"/>
        <v/>
      </c>
      <c r="AE53" s="74" t="str">
        <f t="shared" si="81"/>
        <v/>
      </c>
      <c r="AF53" s="74" t="str">
        <f t="shared" si="81"/>
        <v/>
      </c>
      <c r="AG53" s="74" t="str">
        <f t="shared" si="81"/>
        <v/>
      </c>
      <c r="AH53" s="74" t="str">
        <f t="shared" si="81"/>
        <v/>
      </c>
      <c r="AI53" s="78" t="str">
        <f t="shared" si="82"/>
        <v/>
      </c>
      <c r="AJ53" s="78" t="str">
        <f t="shared" si="82"/>
        <v/>
      </c>
      <c r="AK53" s="74" t="str">
        <f t="shared" si="82"/>
        <v/>
      </c>
      <c r="AL53" s="74" t="str">
        <f t="shared" si="82"/>
        <v/>
      </c>
      <c r="AM53" s="74" t="str">
        <f t="shared" si="82"/>
        <v/>
      </c>
      <c r="AN53" s="74" t="str">
        <f t="shared" si="82"/>
        <v/>
      </c>
      <c r="AO53" s="74" t="str">
        <f t="shared" si="82"/>
        <v/>
      </c>
      <c r="AP53" s="78" t="str">
        <f t="shared" si="82"/>
        <v/>
      </c>
      <c r="AQ53" s="78" t="str">
        <f t="shared" si="82"/>
        <v/>
      </c>
      <c r="AR53" s="74" t="str">
        <f t="shared" si="82"/>
        <v/>
      </c>
      <c r="AS53" s="74" t="str">
        <f t="shared" si="83"/>
        <v/>
      </c>
      <c r="AT53" s="74" t="str">
        <f t="shared" si="83"/>
        <v/>
      </c>
      <c r="AU53" s="74" t="str">
        <f t="shared" si="83"/>
        <v/>
      </c>
      <c r="AV53" s="74" t="str">
        <f t="shared" si="83"/>
        <v/>
      </c>
      <c r="AW53" s="75">
        <f t="shared" si="83"/>
        <v>50</v>
      </c>
      <c r="AX53" s="75">
        <f t="shared" si="83"/>
        <v>50</v>
      </c>
      <c r="AY53" s="75">
        <f t="shared" si="83"/>
        <v>50</v>
      </c>
      <c r="AZ53" s="75">
        <f t="shared" si="83"/>
        <v>50</v>
      </c>
      <c r="BA53" s="75">
        <f t="shared" si="83"/>
        <v>50</v>
      </c>
      <c r="BB53" s="75">
        <f t="shared" si="83"/>
        <v>50</v>
      </c>
      <c r="BC53" s="75">
        <f t="shared" si="84"/>
        <v>50</v>
      </c>
      <c r="BD53" s="76">
        <f t="shared" si="84"/>
        <v>50</v>
      </c>
      <c r="BE53" s="76">
        <f t="shared" si="84"/>
        <v>50</v>
      </c>
      <c r="BF53" s="76">
        <f t="shared" si="84"/>
        <v>50</v>
      </c>
      <c r="BG53" s="77">
        <f t="shared" si="84"/>
        <v>50</v>
      </c>
      <c r="BH53" s="77">
        <f t="shared" si="84"/>
        <v>50</v>
      </c>
      <c r="BI53" s="77">
        <f t="shared" si="84"/>
        <v>50</v>
      </c>
      <c r="BJ53" s="74" t="str">
        <f t="shared" si="84"/>
        <v/>
      </c>
      <c r="BK53" s="78" t="str">
        <f t="shared" si="84"/>
        <v/>
      </c>
      <c r="BL53" s="78" t="str">
        <f t="shared" si="84"/>
        <v/>
      </c>
      <c r="BM53" s="74" t="str">
        <f t="shared" si="85"/>
        <v/>
      </c>
      <c r="BN53" s="74" t="str">
        <f t="shared" si="85"/>
        <v/>
      </c>
      <c r="BO53" s="74" t="str">
        <f t="shared" si="85"/>
        <v/>
      </c>
      <c r="BP53" s="74" t="str">
        <f t="shared" si="85"/>
        <v/>
      </c>
      <c r="BQ53" s="74" t="str">
        <f t="shared" si="85"/>
        <v/>
      </c>
      <c r="BR53" s="78" t="str">
        <f t="shared" si="85"/>
        <v/>
      </c>
      <c r="BS53" s="78" t="str">
        <f t="shared" si="85"/>
        <v/>
      </c>
      <c r="BT53" s="74" t="str">
        <f t="shared" si="85"/>
        <v/>
      </c>
      <c r="BU53" s="74" t="str">
        <f t="shared" si="85"/>
        <v/>
      </c>
      <c r="BV53" s="74" t="str">
        <f t="shared" si="85"/>
        <v/>
      </c>
      <c r="BW53" s="74" t="str">
        <f t="shared" si="86"/>
        <v/>
      </c>
      <c r="BX53" s="74" t="str">
        <f t="shared" si="86"/>
        <v/>
      </c>
      <c r="BY53" s="78" t="str">
        <f t="shared" si="86"/>
        <v/>
      </c>
      <c r="BZ53" s="78" t="str">
        <f t="shared" si="86"/>
        <v/>
      </c>
      <c r="CA53" s="74" t="str">
        <f t="shared" si="86"/>
        <v/>
      </c>
      <c r="CB53" s="74" t="str">
        <f t="shared" si="86"/>
        <v/>
      </c>
      <c r="CC53" s="74" t="str">
        <f t="shared" si="86"/>
        <v/>
      </c>
      <c r="CD53" s="74" t="str">
        <f t="shared" si="86"/>
        <v/>
      </c>
      <c r="CE53" s="74" t="str">
        <f t="shared" si="86"/>
        <v/>
      </c>
      <c r="CF53" s="78" t="str">
        <f t="shared" si="86"/>
        <v/>
      </c>
      <c r="CG53" s="78" t="str">
        <f t="shared" si="87"/>
        <v/>
      </c>
      <c r="CH53" s="74" t="str">
        <f t="shared" si="87"/>
        <v/>
      </c>
      <c r="CI53" s="74" t="str">
        <f t="shared" si="87"/>
        <v/>
      </c>
      <c r="CJ53" s="74" t="str">
        <f t="shared" si="87"/>
        <v/>
      </c>
      <c r="CK53" s="74" t="str">
        <f t="shared" si="87"/>
        <v/>
      </c>
      <c r="CL53" s="74" t="str">
        <f t="shared" si="87"/>
        <v/>
      </c>
      <c r="CM53" s="78" t="str">
        <f t="shared" si="87"/>
        <v/>
      </c>
      <c r="CN53" s="78" t="str">
        <f t="shared" si="87"/>
        <v/>
      </c>
      <c r="CO53" s="74" t="str">
        <f t="shared" si="87"/>
        <v/>
      </c>
      <c r="CP53" s="74" t="str">
        <f t="shared" si="87"/>
        <v/>
      </c>
      <c r="CQ53" s="74" t="str">
        <f t="shared" si="88"/>
        <v/>
      </c>
      <c r="CR53" s="74" t="str">
        <f t="shared" si="88"/>
        <v/>
      </c>
      <c r="CS53" s="74" t="str">
        <f t="shared" si="88"/>
        <v/>
      </c>
      <c r="CT53" s="78" t="str">
        <f t="shared" si="88"/>
        <v/>
      </c>
      <c r="CU53" s="78" t="str">
        <f t="shared" si="88"/>
        <v/>
      </c>
      <c r="CV53" s="74" t="str">
        <f t="shared" si="88"/>
        <v/>
      </c>
      <c r="CW53" s="74" t="str">
        <f t="shared" si="88"/>
        <v/>
      </c>
      <c r="CX53" s="74" t="str">
        <f t="shared" si="88"/>
        <v/>
      </c>
      <c r="CY53" s="74" t="str">
        <f t="shared" si="88"/>
        <v/>
      </c>
      <c r="CZ53" s="74" t="str">
        <f t="shared" si="88"/>
        <v/>
      </c>
      <c r="DA53" s="78" t="str">
        <f t="shared" si="89"/>
        <v/>
      </c>
      <c r="DB53" s="78" t="str">
        <f t="shared" si="89"/>
        <v/>
      </c>
      <c r="DC53" s="74" t="str">
        <f t="shared" si="89"/>
        <v/>
      </c>
      <c r="DD53" s="74" t="str">
        <f t="shared" si="89"/>
        <v/>
      </c>
      <c r="DE53" s="74" t="str">
        <f t="shared" si="89"/>
        <v/>
      </c>
      <c r="DF53" s="74" t="str">
        <f t="shared" si="89"/>
        <v/>
      </c>
      <c r="DG53" s="74" t="str">
        <f t="shared" si="89"/>
        <v/>
      </c>
      <c r="DH53" s="78" t="str">
        <f t="shared" si="89"/>
        <v/>
      </c>
      <c r="DI53" s="78" t="str">
        <f t="shared" si="89"/>
        <v/>
      </c>
      <c r="DJ53" s="74" t="str">
        <f t="shared" si="89"/>
        <v/>
      </c>
      <c r="DK53" s="74" t="str">
        <f t="shared" si="90"/>
        <v/>
      </c>
      <c r="DL53" s="74" t="str">
        <f t="shared" si="90"/>
        <v/>
      </c>
      <c r="DM53" s="74" t="str">
        <f t="shared" si="90"/>
        <v/>
      </c>
      <c r="DN53" s="74" t="str">
        <f t="shared" si="90"/>
        <v/>
      </c>
      <c r="DO53" s="78" t="str">
        <f t="shared" si="90"/>
        <v/>
      </c>
      <c r="DP53" s="78" t="str">
        <f t="shared" si="90"/>
        <v/>
      </c>
      <c r="DQ53" s="74" t="str">
        <f t="shared" si="90"/>
        <v/>
      </c>
      <c r="DR53" s="74" t="str">
        <f t="shared" si="90"/>
        <v/>
      </c>
      <c r="DS53" s="74" t="str">
        <f t="shared" si="90"/>
        <v/>
      </c>
      <c r="DT53" s="74" t="str">
        <f t="shared" si="90"/>
        <v/>
      </c>
      <c r="DU53" s="74" t="str">
        <f t="shared" si="91"/>
        <v/>
      </c>
      <c r="DV53" s="78" t="str">
        <f t="shared" si="91"/>
        <v/>
      </c>
      <c r="DW53" s="78" t="str">
        <f t="shared" si="91"/>
        <v/>
      </c>
      <c r="DX53" s="74" t="str">
        <f t="shared" si="91"/>
        <v/>
      </c>
      <c r="DY53" s="74" t="str">
        <f t="shared" si="91"/>
        <v/>
      </c>
      <c r="DZ53" s="74" t="str">
        <f t="shared" si="91"/>
        <v/>
      </c>
      <c r="EA53" s="74" t="str">
        <f t="shared" si="91"/>
        <v/>
      </c>
      <c r="EB53" s="74" t="str">
        <f t="shared" si="91"/>
        <v/>
      </c>
      <c r="EC53" s="78" t="str">
        <f t="shared" si="91"/>
        <v/>
      </c>
      <c r="ED53" s="78" t="str">
        <f t="shared" si="91"/>
        <v/>
      </c>
      <c r="EE53" s="74" t="str">
        <f t="shared" si="92"/>
        <v/>
      </c>
      <c r="EF53" s="74" t="str">
        <f t="shared" si="92"/>
        <v/>
      </c>
      <c r="EG53" s="74" t="str">
        <f t="shared" si="92"/>
        <v/>
      </c>
      <c r="EH53" s="74" t="str">
        <f t="shared" si="92"/>
        <v/>
      </c>
      <c r="EI53" s="74" t="str">
        <f t="shared" si="92"/>
        <v/>
      </c>
      <c r="EJ53" s="78" t="str">
        <f t="shared" si="92"/>
        <v/>
      </c>
      <c r="EK53" s="78" t="str">
        <f t="shared" si="92"/>
        <v/>
      </c>
      <c r="EL53" s="74" t="str">
        <f t="shared" si="92"/>
        <v/>
      </c>
      <c r="EM53" s="74" t="str">
        <f t="shared" si="92"/>
        <v/>
      </c>
      <c r="EN53" s="74" t="str">
        <f t="shared" si="92"/>
        <v/>
      </c>
      <c r="EO53" s="74" t="str">
        <f t="shared" si="93"/>
        <v/>
      </c>
      <c r="EP53" s="74" t="str">
        <f t="shared" si="93"/>
        <v/>
      </c>
      <c r="EQ53" s="78" t="str">
        <f t="shared" si="93"/>
        <v/>
      </c>
      <c r="ER53" s="78" t="str">
        <f t="shared" si="93"/>
        <v/>
      </c>
      <c r="ES53" s="74" t="str">
        <f t="shared" si="93"/>
        <v/>
      </c>
      <c r="ET53" s="74" t="str">
        <f t="shared" si="93"/>
        <v/>
      </c>
      <c r="EU53" s="74" t="str">
        <f t="shared" si="93"/>
        <v/>
      </c>
      <c r="EV53" s="74" t="str">
        <f t="shared" si="93"/>
        <v/>
      </c>
      <c r="EW53" s="74" t="str">
        <f t="shared" si="93"/>
        <v/>
      </c>
      <c r="EX53" s="78" t="str">
        <f t="shared" si="93"/>
        <v/>
      </c>
      <c r="EY53" s="78" t="str">
        <f t="shared" si="94"/>
        <v/>
      </c>
      <c r="EZ53" s="74" t="str">
        <f t="shared" si="94"/>
        <v/>
      </c>
      <c r="FA53" s="74" t="str">
        <f t="shared" si="94"/>
        <v/>
      </c>
      <c r="FB53" s="74" t="str">
        <f t="shared" si="94"/>
        <v/>
      </c>
      <c r="FC53" s="74" t="str">
        <f t="shared" si="94"/>
        <v/>
      </c>
      <c r="FD53" s="74" t="str">
        <f t="shared" si="94"/>
        <v/>
      </c>
      <c r="FE53" s="78" t="str">
        <f t="shared" si="94"/>
        <v/>
      </c>
      <c r="FF53" s="78" t="str">
        <f t="shared" si="94"/>
        <v/>
      </c>
      <c r="FG53" s="74" t="str">
        <f t="shared" si="94"/>
        <v/>
      </c>
      <c r="FH53" s="74" t="str">
        <f t="shared" si="94"/>
        <v/>
      </c>
      <c r="FI53" s="74" t="str">
        <f t="shared" si="95"/>
        <v/>
      </c>
      <c r="FJ53" s="74" t="str">
        <f t="shared" si="95"/>
        <v/>
      </c>
      <c r="FK53" s="74" t="str">
        <f t="shared" si="95"/>
        <v/>
      </c>
      <c r="FL53" s="78" t="str">
        <f t="shared" si="95"/>
        <v/>
      </c>
      <c r="FM53" s="78" t="str">
        <f t="shared" si="95"/>
        <v/>
      </c>
      <c r="FN53" s="74" t="str">
        <f t="shared" si="95"/>
        <v/>
      </c>
      <c r="FO53" s="74" t="str">
        <f t="shared" si="95"/>
        <v/>
      </c>
      <c r="FP53" s="74" t="str">
        <f t="shared" si="95"/>
        <v/>
      </c>
      <c r="FQ53" s="74" t="str">
        <f t="shared" si="95"/>
        <v/>
      </c>
      <c r="FR53" s="74" t="str">
        <f t="shared" si="95"/>
        <v/>
      </c>
      <c r="FS53" s="78" t="str">
        <f t="shared" si="96"/>
        <v/>
      </c>
      <c r="FT53" s="78" t="str">
        <f t="shared" si="96"/>
        <v/>
      </c>
      <c r="FU53" s="74" t="str">
        <f t="shared" si="96"/>
        <v/>
      </c>
      <c r="FV53" s="74" t="str">
        <f t="shared" si="96"/>
        <v/>
      </c>
      <c r="FW53" s="74" t="str">
        <f t="shared" si="96"/>
        <v/>
      </c>
      <c r="FX53" s="74" t="str">
        <f t="shared" si="96"/>
        <v/>
      </c>
      <c r="FY53" s="74" t="str">
        <f t="shared" si="96"/>
        <v/>
      </c>
      <c r="FZ53" s="78" t="str">
        <f t="shared" si="96"/>
        <v/>
      </c>
      <c r="GA53" s="78" t="str">
        <f t="shared" si="96"/>
        <v/>
      </c>
      <c r="GB53" s="74" t="str">
        <f t="shared" si="96"/>
        <v/>
      </c>
      <c r="GC53" s="74" t="str">
        <f t="shared" si="97"/>
        <v/>
      </c>
      <c r="GD53" s="74" t="str">
        <f t="shared" si="97"/>
        <v/>
      </c>
      <c r="GE53" s="74" t="str">
        <f t="shared" si="97"/>
        <v/>
      </c>
      <c r="GF53" s="74" t="str">
        <f t="shared" si="97"/>
        <v/>
      </c>
      <c r="GG53" s="78" t="str">
        <f t="shared" si="97"/>
        <v/>
      </c>
      <c r="GH53" s="78" t="str">
        <f t="shared" si="97"/>
        <v/>
      </c>
      <c r="GI53" s="74" t="str">
        <f t="shared" si="97"/>
        <v/>
      </c>
      <c r="GJ53" s="74" t="str">
        <f t="shared" si="97"/>
        <v/>
      </c>
      <c r="GK53" s="74" t="str">
        <f t="shared" si="97"/>
        <v/>
      </c>
      <c r="GL53" s="74" t="str">
        <f t="shared" si="97"/>
        <v/>
      </c>
      <c r="GM53" s="74" t="str">
        <f t="shared" si="98"/>
        <v/>
      </c>
      <c r="GN53" s="78" t="str">
        <f t="shared" si="98"/>
        <v/>
      </c>
      <c r="GO53" s="78" t="str">
        <f t="shared" si="98"/>
        <v/>
      </c>
      <c r="GP53" s="74" t="str">
        <f t="shared" si="98"/>
        <v/>
      </c>
      <c r="GQ53" s="74" t="str">
        <f t="shared" si="98"/>
        <v/>
      </c>
      <c r="GR53" s="74" t="str">
        <f t="shared" si="98"/>
        <v/>
      </c>
      <c r="GS53" s="74" t="str">
        <f t="shared" si="98"/>
        <v/>
      </c>
      <c r="GT53" s="74" t="str">
        <f t="shared" si="98"/>
        <v/>
      </c>
      <c r="GU53" s="78" t="str">
        <f t="shared" si="98"/>
        <v/>
      </c>
      <c r="GV53" s="78" t="str">
        <f t="shared" si="98"/>
        <v/>
      </c>
      <c r="GW53" s="74" t="str">
        <f t="shared" si="99"/>
        <v/>
      </c>
      <c r="GX53" s="74" t="str">
        <f t="shared" si="99"/>
        <v/>
      </c>
      <c r="GY53" s="74" t="str">
        <f t="shared" si="99"/>
        <v/>
      </c>
      <c r="GZ53" s="74" t="str">
        <f t="shared" si="99"/>
        <v/>
      </c>
      <c r="HA53" s="74" t="str">
        <f t="shared" si="99"/>
        <v/>
      </c>
      <c r="HB53" s="78" t="str">
        <f t="shared" si="99"/>
        <v/>
      </c>
      <c r="HC53" s="78" t="str">
        <f t="shared" si="99"/>
        <v/>
      </c>
      <c r="HD53" s="74" t="str">
        <f t="shared" si="99"/>
        <v/>
      </c>
      <c r="HE53" s="74" t="str">
        <f t="shared" si="99"/>
        <v/>
      </c>
      <c r="HF53" s="74" t="str">
        <f t="shared" si="99"/>
        <v/>
      </c>
      <c r="HG53" s="74" t="str">
        <f t="shared" si="99"/>
        <v/>
      </c>
      <c r="HH53" s="74" t="str">
        <f t="shared" si="99"/>
        <v/>
      </c>
    </row>
    <row r="54" spans="1:216" x14ac:dyDescent="0.2">
      <c r="A54" s="82" t="str">
        <f>'FY1 Event Pipeline'!A9</f>
        <v>MOTN AAN</v>
      </c>
      <c r="B54" s="83">
        <f>_xlfn.XLOOKUP(A54,'FY1 Event Pipeline'!$A$4:$A$15,'FY1 Event Pipeline'!$H$4:$H$15)</f>
        <v>46336</v>
      </c>
      <c r="C54" s="83">
        <f>_xlfn.XLOOKUP(A54,'FY1 Event Pipeline'!$A$4:$A$15,'FY1 Event Pipeline'!$J$4:$J$15)</f>
        <v>46362</v>
      </c>
      <c r="D54" s="84">
        <f>_xlfn.XLOOKUP(A54,'FY1 Event Pipeline'!$A$4:$A$15,'FY1 Event Pipeline'!$Q$4:$Q$15)</f>
        <v>550</v>
      </c>
      <c r="E54" s="74" t="str">
        <f t="shared" si="79"/>
        <v/>
      </c>
      <c r="F54" s="74" t="str">
        <f t="shared" si="79"/>
        <v/>
      </c>
      <c r="G54" s="78" t="str">
        <f t="shared" si="79"/>
        <v/>
      </c>
      <c r="H54" s="78" t="str">
        <f t="shared" si="79"/>
        <v/>
      </c>
      <c r="I54" s="74" t="str">
        <f t="shared" si="79"/>
        <v/>
      </c>
      <c r="J54" s="74" t="str">
        <f t="shared" si="79"/>
        <v/>
      </c>
      <c r="K54" s="74" t="str">
        <f t="shared" si="79"/>
        <v/>
      </c>
      <c r="L54" s="74" t="str">
        <f t="shared" si="79"/>
        <v/>
      </c>
      <c r="M54" s="74" t="str">
        <f t="shared" si="79"/>
        <v/>
      </c>
      <c r="N54" s="78" t="str">
        <f t="shared" si="79"/>
        <v/>
      </c>
      <c r="O54" s="78" t="str">
        <f t="shared" si="80"/>
        <v/>
      </c>
      <c r="P54" s="74" t="str">
        <f t="shared" si="80"/>
        <v/>
      </c>
      <c r="Q54" s="74" t="str">
        <f t="shared" si="80"/>
        <v/>
      </c>
      <c r="R54" s="74" t="str">
        <f t="shared" si="80"/>
        <v/>
      </c>
      <c r="S54" s="74" t="str">
        <f t="shared" si="80"/>
        <v/>
      </c>
      <c r="T54" s="74" t="str">
        <f t="shared" si="80"/>
        <v/>
      </c>
      <c r="U54" s="78" t="str">
        <f t="shared" si="80"/>
        <v/>
      </c>
      <c r="V54" s="78" t="str">
        <f t="shared" si="80"/>
        <v/>
      </c>
      <c r="W54" s="74" t="str">
        <f t="shared" si="80"/>
        <v/>
      </c>
      <c r="X54" s="74" t="str">
        <f t="shared" si="80"/>
        <v/>
      </c>
      <c r="Y54" s="74" t="str">
        <f t="shared" si="81"/>
        <v/>
      </c>
      <c r="Z54" s="74" t="str">
        <f t="shared" si="81"/>
        <v/>
      </c>
      <c r="AA54" s="74" t="str">
        <f t="shared" si="81"/>
        <v/>
      </c>
      <c r="AB54" s="78" t="str">
        <f t="shared" si="81"/>
        <v/>
      </c>
      <c r="AC54" s="78" t="str">
        <f t="shared" si="81"/>
        <v/>
      </c>
      <c r="AD54" s="74" t="str">
        <f t="shared" si="81"/>
        <v/>
      </c>
      <c r="AE54" s="74" t="str">
        <f t="shared" si="81"/>
        <v/>
      </c>
      <c r="AF54" s="74" t="str">
        <f t="shared" si="81"/>
        <v/>
      </c>
      <c r="AG54" s="74" t="str">
        <f t="shared" si="81"/>
        <v/>
      </c>
      <c r="AH54" s="74" t="str">
        <f t="shared" si="81"/>
        <v/>
      </c>
      <c r="AI54" s="78" t="str">
        <f t="shared" si="82"/>
        <v/>
      </c>
      <c r="AJ54" s="78" t="str">
        <f t="shared" si="82"/>
        <v/>
      </c>
      <c r="AK54" s="74" t="str">
        <f t="shared" si="82"/>
        <v/>
      </c>
      <c r="AL54" s="74" t="str">
        <f t="shared" si="82"/>
        <v/>
      </c>
      <c r="AM54" s="74" t="str">
        <f t="shared" si="82"/>
        <v/>
      </c>
      <c r="AN54" s="74" t="str">
        <f t="shared" si="82"/>
        <v/>
      </c>
      <c r="AO54" s="74" t="str">
        <f t="shared" si="82"/>
        <v/>
      </c>
      <c r="AP54" s="78" t="str">
        <f t="shared" si="82"/>
        <v/>
      </c>
      <c r="AQ54" s="78" t="str">
        <f t="shared" si="82"/>
        <v/>
      </c>
      <c r="AR54" s="74" t="str">
        <f t="shared" si="82"/>
        <v/>
      </c>
      <c r="AS54" s="75">
        <f t="shared" si="83"/>
        <v>550</v>
      </c>
      <c r="AT54" s="75">
        <f t="shared" si="83"/>
        <v>550</v>
      </c>
      <c r="AU54" s="75">
        <f t="shared" si="83"/>
        <v>550</v>
      </c>
      <c r="AV54" s="75">
        <f t="shared" si="83"/>
        <v>550</v>
      </c>
      <c r="AW54" s="75">
        <f t="shared" si="83"/>
        <v>550</v>
      </c>
      <c r="AX54" s="75">
        <f t="shared" si="83"/>
        <v>550</v>
      </c>
      <c r="AY54" s="75">
        <f t="shared" si="83"/>
        <v>550</v>
      </c>
      <c r="AZ54" s="75">
        <f t="shared" si="83"/>
        <v>550</v>
      </c>
      <c r="BA54" s="75">
        <f t="shared" si="83"/>
        <v>550</v>
      </c>
      <c r="BB54" s="75">
        <f t="shared" si="83"/>
        <v>550</v>
      </c>
      <c r="BC54" s="75">
        <f t="shared" si="84"/>
        <v>550</v>
      </c>
      <c r="BD54" s="75">
        <f t="shared" si="84"/>
        <v>550</v>
      </c>
      <c r="BE54" s="75">
        <f t="shared" si="84"/>
        <v>550</v>
      </c>
      <c r="BF54" s="75">
        <f t="shared" si="84"/>
        <v>550</v>
      </c>
      <c r="BG54" s="76">
        <f t="shared" si="84"/>
        <v>550</v>
      </c>
      <c r="BH54" s="76">
        <f t="shared" si="84"/>
        <v>550</v>
      </c>
      <c r="BI54" s="76">
        <f t="shared" si="84"/>
        <v>550</v>
      </c>
      <c r="BJ54" s="76">
        <f t="shared" si="84"/>
        <v>550</v>
      </c>
      <c r="BK54" s="76">
        <f t="shared" si="84"/>
        <v>550</v>
      </c>
      <c r="BL54" s="76">
        <f t="shared" si="84"/>
        <v>550</v>
      </c>
      <c r="BM54" s="76">
        <f t="shared" si="85"/>
        <v>550</v>
      </c>
      <c r="BN54" s="76">
        <f t="shared" si="85"/>
        <v>550</v>
      </c>
      <c r="BO54" s="76">
        <f t="shared" si="85"/>
        <v>550</v>
      </c>
      <c r="BP54" s="77">
        <f t="shared" si="85"/>
        <v>550</v>
      </c>
      <c r="BQ54" s="77">
        <f t="shared" si="85"/>
        <v>550</v>
      </c>
      <c r="BR54" s="77">
        <f t="shared" si="85"/>
        <v>550</v>
      </c>
      <c r="BS54" s="77">
        <f t="shared" si="85"/>
        <v>550</v>
      </c>
      <c r="BT54" s="74" t="str">
        <f t="shared" si="85"/>
        <v/>
      </c>
      <c r="BU54" s="74" t="str">
        <f t="shared" si="85"/>
        <v/>
      </c>
      <c r="BV54" s="74" t="str">
        <f t="shared" si="85"/>
        <v/>
      </c>
      <c r="BW54" s="74" t="str">
        <f t="shared" si="86"/>
        <v/>
      </c>
      <c r="BX54" s="74" t="str">
        <f t="shared" si="86"/>
        <v/>
      </c>
      <c r="BY54" s="78" t="str">
        <f t="shared" si="86"/>
        <v/>
      </c>
      <c r="BZ54" s="78" t="str">
        <f t="shared" si="86"/>
        <v/>
      </c>
      <c r="CA54" s="74" t="str">
        <f t="shared" si="86"/>
        <v/>
      </c>
      <c r="CB54" s="74" t="str">
        <f t="shared" si="86"/>
        <v/>
      </c>
      <c r="CC54" s="74" t="str">
        <f t="shared" si="86"/>
        <v/>
      </c>
      <c r="CD54" s="74" t="str">
        <f t="shared" si="86"/>
        <v/>
      </c>
      <c r="CE54" s="74" t="str">
        <f t="shared" si="86"/>
        <v/>
      </c>
      <c r="CF54" s="78" t="str">
        <f t="shared" si="86"/>
        <v/>
      </c>
      <c r="CG54" s="78" t="str">
        <f t="shared" si="87"/>
        <v/>
      </c>
      <c r="CH54" s="74" t="str">
        <f t="shared" si="87"/>
        <v/>
      </c>
      <c r="CI54" s="74" t="str">
        <f t="shared" si="87"/>
        <v/>
      </c>
      <c r="CJ54" s="74" t="str">
        <f t="shared" si="87"/>
        <v/>
      </c>
      <c r="CK54" s="74" t="str">
        <f t="shared" si="87"/>
        <v/>
      </c>
      <c r="CL54" s="74" t="str">
        <f t="shared" si="87"/>
        <v/>
      </c>
      <c r="CM54" s="78" t="str">
        <f t="shared" si="87"/>
        <v/>
      </c>
      <c r="CN54" s="78" t="str">
        <f t="shared" si="87"/>
        <v/>
      </c>
      <c r="CO54" s="74" t="str">
        <f t="shared" si="87"/>
        <v/>
      </c>
      <c r="CP54" s="74" t="str">
        <f t="shared" si="87"/>
        <v/>
      </c>
      <c r="CQ54" s="74" t="str">
        <f t="shared" si="88"/>
        <v/>
      </c>
      <c r="CR54" s="74" t="str">
        <f t="shared" si="88"/>
        <v/>
      </c>
      <c r="CS54" s="74" t="str">
        <f t="shared" si="88"/>
        <v/>
      </c>
      <c r="CT54" s="78" t="str">
        <f t="shared" si="88"/>
        <v/>
      </c>
      <c r="CU54" s="78" t="str">
        <f t="shared" si="88"/>
        <v/>
      </c>
      <c r="CV54" s="74" t="str">
        <f t="shared" si="88"/>
        <v/>
      </c>
      <c r="CW54" s="74" t="str">
        <f t="shared" si="88"/>
        <v/>
      </c>
      <c r="CX54" s="74" t="str">
        <f t="shared" si="88"/>
        <v/>
      </c>
      <c r="CY54" s="74" t="str">
        <f t="shared" si="88"/>
        <v/>
      </c>
      <c r="CZ54" s="74" t="str">
        <f t="shared" si="88"/>
        <v/>
      </c>
      <c r="DA54" s="78" t="str">
        <f t="shared" si="89"/>
        <v/>
      </c>
      <c r="DB54" s="78" t="str">
        <f t="shared" si="89"/>
        <v/>
      </c>
      <c r="DC54" s="74" t="str">
        <f t="shared" si="89"/>
        <v/>
      </c>
      <c r="DD54" s="74" t="str">
        <f t="shared" si="89"/>
        <v/>
      </c>
      <c r="DE54" s="74" t="str">
        <f t="shared" si="89"/>
        <v/>
      </c>
      <c r="DF54" s="74" t="str">
        <f t="shared" si="89"/>
        <v/>
      </c>
      <c r="DG54" s="74" t="str">
        <f t="shared" si="89"/>
        <v/>
      </c>
      <c r="DH54" s="78" t="str">
        <f t="shared" si="89"/>
        <v/>
      </c>
      <c r="DI54" s="78" t="str">
        <f t="shared" si="89"/>
        <v/>
      </c>
      <c r="DJ54" s="74" t="str">
        <f t="shared" si="89"/>
        <v/>
      </c>
      <c r="DK54" s="74" t="str">
        <f t="shared" si="90"/>
        <v/>
      </c>
      <c r="DL54" s="74" t="str">
        <f t="shared" si="90"/>
        <v/>
      </c>
      <c r="DM54" s="74" t="str">
        <f t="shared" si="90"/>
        <v/>
      </c>
      <c r="DN54" s="74" t="str">
        <f t="shared" si="90"/>
        <v/>
      </c>
      <c r="DO54" s="78" t="str">
        <f t="shared" si="90"/>
        <v/>
      </c>
      <c r="DP54" s="78" t="str">
        <f t="shared" si="90"/>
        <v/>
      </c>
      <c r="DQ54" s="74" t="str">
        <f t="shared" si="90"/>
        <v/>
      </c>
      <c r="DR54" s="74" t="str">
        <f t="shared" si="90"/>
        <v/>
      </c>
      <c r="DS54" s="74" t="str">
        <f t="shared" si="90"/>
        <v/>
      </c>
      <c r="DT54" s="74" t="str">
        <f t="shared" si="90"/>
        <v/>
      </c>
      <c r="DU54" s="74" t="str">
        <f t="shared" si="91"/>
        <v/>
      </c>
      <c r="DV54" s="78" t="str">
        <f t="shared" si="91"/>
        <v/>
      </c>
      <c r="DW54" s="78" t="str">
        <f t="shared" si="91"/>
        <v/>
      </c>
      <c r="DX54" s="74" t="str">
        <f t="shared" si="91"/>
        <v/>
      </c>
      <c r="DY54" s="74" t="str">
        <f t="shared" si="91"/>
        <v/>
      </c>
      <c r="DZ54" s="74" t="str">
        <f t="shared" si="91"/>
        <v/>
      </c>
      <c r="EA54" s="74" t="str">
        <f t="shared" si="91"/>
        <v/>
      </c>
      <c r="EB54" s="74" t="str">
        <f t="shared" si="91"/>
        <v/>
      </c>
      <c r="EC54" s="78" t="str">
        <f t="shared" si="91"/>
        <v/>
      </c>
      <c r="ED54" s="78" t="str">
        <f t="shared" si="91"/>
        <v/>
      </c>
      <c r="EE54" s="74" t="str">
        <f t="shared" si="92"/>
        <v/>
      </c>
      <c r="EF54" s="74" t="str">
        <f t="shared" si="92"/>
        <v/>
      </c>
      <c r="EG54" s="74" t="str">
        <f t="shared" si="92"/>
        <v/>
      </c>
      <c r="EH54" s="74" t="str">
        <f t="shared" si="92"/>
        <v/>
      </c>
      <c r="EI54" s="74" t="str">
        <f t="shared" si="92"/>
        <v/>
      </c>
      <c r="EJ54" s="78" t="str">
        <f t="shared" si="92"/>
        <v/>
      </c>
      <c r="EK54" s="78" t="str">
        <f t="shared" si="92"/>
        <v/>
      </c>
      <c r="EL54" s="74" t="str">
        <f t="shared" si="92"/>
        <v/>
      </c>
      <c r="EM54" s="74" t="str">
        <f t="shared" si="92"/>
        <v/>
      </c>
      <c r="EN54" s="74" t="str">
        <f t="shared" si="92"/>
        <v/>
      </c>
      <c r="EO54" s="74" t="str">
        <f t="shared" si="93"/>
        <v/>
      </c>
      <c r="EP54" s="74" t="str">
        <f t="shared" si="93"/>
        <v/>
      </c>
      <c r="EQ54" s="78" t="str">
        <f t="shared" si="93"/>
        <v/>
      </c>
      <c r="ER54" s="78" t="str">
        <f t="shared" si="93"/>
        <v/>
      </c>
      <c r="ES54" s="74" t="str">
        <f t="shared" si="93"/>
        <v/>
      </c>
      <c r="ET54" s="74" t="str">
        <f t="shared" si="93"/>
        <v/>
      </c>
      <c r="EU54" s="74" t="str">
        <f t="shared" si="93"/>
        <v/>
      </c>
      <c r="EV54" s="74" t="str">
        <f t="shared" si="93"/>
        <v/>
      </c>
      <c r="EW54" s="74" t="str">
        <f t="shared" si="93"/>
        <v/>
      </c>
      <c r="EX54" s="78" t="str">
        <f t="shared" si="93"/>
        <v/>
      </c>
      <c r="EY54" s="78" t="str">
        <f t="shared" si="94"/>
        <v/>
      </c>
      <c r="EZ54" s="74" t="str">
        <f t="shared" si="94"/>
        <v/>
      </c>
      <c r="FA54" s="74" t="str">
        <f t="shared" si="94"/>
        <v/>
      </c>
      <c r="FB54" s="74" t="str">
        <f t="shared" si="94"/>
        <v/>
      </c>
      <c r="FC54" s="74" t="str">
        <f t="shared" si="94"/>
        <v/>
      </c>
      <c r="FD54" s="74" t="str">
        <f t="shared" si="94"/>
        <v/>
      </c>
      <c r="FE54" s="78" t="str">
        <f t="shared" si="94"/>
        <v/>
      </c>
      <c r="FF54" s="78" t="str">
        <f t="shared" si="94"/>
        <v/>
      </c>
      <c r="FG54" s="74" t="str">
        <f t="shared" si="94"/>
        <v/>
      </c>
      <c r="FH54" s="74" t="str">
        <f t="shared" si="94"/>
        <v/>
      </c>
      <c r="FI54" s="74" t="str">
        <f t="shared" si="95"/>
        <v/>
      </c>
      <c r="FJ54" s="74" t="str">
        <f t="shared" si="95"/>
        <v/>
      </c>
      <c r="FK54" s="74" t="str">
        <f t="shared" si="95"/>
        <v/>
      </c>
      <c r="FL54" s="78" t="str">
        <f t="shared" si="95"/>
        <v/>
      </c>
      <c r="FM54" s="78" t="str">
        <f t="shared" si="95"/>
        <v/>
      </c>
      <c r="FN54" s="74" t="str">
        <f t="shared" si="95"/>
        <v/>
      </c>
      <c r="FO54" s="74" t="str">
        <f t="shared" si="95"/>
        <v/>
      </c>
      <c r="FP54" s="74" t="str">
        <f t="shared" si="95"/>
        <v/>
      </c>
      <c r="FQ54" s="74" t="str">
        <f t="shared" si="95"/>
        <v/>
      </c>
      <c r="FR54" s="74" t="str">
        <f t="shared" si="95"/>
        <v/>
      </c>
      <c r="FS54" s="78" t="str">
        <f t="shared" si="96"/>
        <v/>
      </c>
      <c r="FT54" s="78" t="str">
        <f t="shared" si="96"/>
        <v/>
      </c>
      <c r="FU54" s="74" t="str">
        <f t="shared" si="96"/>
        <v/>
      </c>
      <c r="FV54" s="74" t="str">
        <f t="shared" si="96"/>
        <v/>
      </c>
      <c r="FW54" s="74" t="str">
        <f t="shared" si="96"/>
        <v/>
      </c>
      <c r="FX54" s="74" t="str">
        <f t="shared" si="96"/>
        <v/>
      </c>
      <c r="FY54" s="74" t="str">
        <f t="shared" si="96"/>
        <v/>
      </c>
      <c r="FZ54" s="78" t="str">
        <f t="shared" si="96"/>
        <v/>
      </c>
      <c r="GA54" s="78" t="str">
        <f t="shared" si="96"/>
        <v/>
      </c>
      <c r="GB54" s="74" t="str">
        <f t="shared" si="96"/>
        <v/>
      </c>
      <c r="GC54" s="74" t="str">
        <f t="shared" si="97"/>
        <v/>
      </c>
      <c r="GD54" s="74" t="str">
        <f t="shared" si="97"/>
        <v/>
      </c>
      <c r="GE54" s="74" t="str">
        <f t="shared" si="97"/>
        <v/>
      </c>
      <c r="GF54" s="74" t="str">
        <f t="shared" si="97"/>
        <v/>
      </c>
      <c r="GG54" s="78" t="str">
        <f t="shared" si="97"/>
        <v/>
      </c>
      <c r="GH54" s="78" t="str">
        <f t="shared" si="97"/>
        <v/>
      </c>
      <c r="GI54" s="74" t="str">
        <f t="shared" si="97"/>
        <v/>
      </c>
      <c r="GJ54" s="74" t="str">
        <f t="shared" si="97"/>
        <v/>
      </c>
      <c r="GK54" s="74" t="str">
        <f t="shared" si="97"/>
        <v/>
      </c>
      <c r="GL54" s="74" t="str">
        <f t="shared" si="97"/>
        <v/>
      </c>
      <c r="GM54" s="74" t="str">
        <f t="shared" si="98"/>
        <v/>
      </c>
      <c r="GN54" s="78" t="str">
        <f t="shared" si="98"/>
        <v/>
      </c>
      <c r="GO54" s="78" t="str">
        <f t="shared" si="98"/>
        <v/>
      </c>
      <c r="GP54" s="74" t="str">
        <f t="shared" si="98"/>
        <v/>
      </c>
      <c r="GQ54" s="74" t="str">
        <f t="shared" si="98"/>
        <v/>
      </c>
      <c r="GR54" s="74" t="str">
        <f t="shared" si="98"/>
        <v/>
      </c>
      <c r="GS54" s="74" t="str">
        <f t="shared" si="98"/>
        <v/>
      </c>
      <c r="GT54" s="74" t="str">
        <f t="shared" si="98"/>
        <v/>
      </c>
      <c r="GU54" s="78" t="str">
        <f t="shared" si="98"/>
        <v/>
      </c>
      <c r="GV54" s="78" t="str">
        <f t="shared" si="98"/>
        <v/>
      </c>
      <c r="GW54" s="74" t="str">
        <f t="shared" si="99"/>
        <v/>
      </c>
      <c r="GX54" s="74" t="str">
        <f t="shared" si="99"/>
        <v/>
      </c>
      <c r="GY54" s="74" t="str">
        <f t="shared" si="99"/>
        <v/>
      </c>
      <c r="GZ54" s="74" t="str">
        <f t="shared" si="99"/>
        <v/>
      </c>
      <c r="HA54" s="74" t="str">
        <f t="shared" si="99"/>
        <v/>
      </c>
      <c r="HB54" s="78" t="str">
        <f t="shared" si="99"/>
        <v/>
      </c>
      <c r="HC54" s="78" t="str">
        <f t="shared" si="99"/>
        <v/>
      </c>
      <c r="HD54" s="74" t="str">
        <f t="shared" si="99"/>
        <v/>
      </c>
      <c r="HE54" s="74" t="str">
        <f t="shared" si="99"/>
        <v/>
      </c>
      <c r="HF54" s="74" t="str">
        <f t="shared" si="99"/>
        <v/>
      </c>
      <c r="HG54" s="74" t="str">
        <f t="shared" si="99"/>
        <v/>
      </c>
      <c r="HH54" s="74" t="str">
        <f t="shared" si="99"/>
        <v/>
      </c>
    </row>
    <row r="55" spans="1:216" x14ac:dyDescent="0.2">
      <c r="A55" s="82" t="str">
        <f>'FY1 Event Pipeline'!A10</f>
        <v>F1 Afterparty</v>
      </c>
      <c r="B55" s="83">
        <f>_xlfn.XLOOKUP(A55,'FY1 Event Pipeline'!$A$4:$A$15,'FY1 Event Pipeline'!$H$4:$H$15)</f>
        <v>46353</v>
      </c>
      <c r="C55" s="83">
        <f>_xlfn.XLOOKUP(A55,'FY1 Event Pipeline'!$A$4:$A$15,'FY1 Event Pipeline'!$J$4:$J$15)</f>
        <v>46365</v>
      </c>
      <c r="D55" s="84">
        <f>_xlfn.XLOOKUP(A55,'FY1 Event Pipeline'!$A$4:$A$15,'FY1 Event Pipeline'!$Q$4:$Q$15)</f>
        <v>1180</v>
      </c>
      <c r="E55" s="74" t="str">
        <f t="shared" si="79"/>
        <v/>
      </c>
      <c r="F55" s="74" t="str">
        <f t="shared" si="79"/>
        <v/>
      </c>
      <c r="G55" s="78" t="str">
        <f t="shared" si="79"/>
        <v/>
      </c>
      <c r="H55" s="78" t="str">
        <f t="shared" si="79"/>
        <v/>
      </c>
      <c r="I55" s="74" t="str">
        <f t="shared" si="79"/>
        <v/>
      </c>
      <c r="J55" s="74" t="str">
        <f t="shared" si="79"/>
        <v/>
      </c>
      <c r="K55" s="74" t="str">
        <f t="shared" si="79"/>
        <v/>
      </c>
      <c r="L55" s="74" t="str">
        <f t="shared" si="79"/>
        <v/>
      </c>
      <c r="M55" s="74" t="str">
        <f t="shared" si="79"/>
        <v/>
      </c>
      <c r="N55" s="78" t="str">
        <f t="shared" si="79"/>
        <v/>
      </c>
      <c r="O55" s="78" t="str">
        <f t="shared" si="80"/>
        <v/>
      </c>
      <c r="P55" s="74" t="str">
        <f t="shared" si="80"/>
        <v/>
      </c>
      <c r="Q55" s="74" t="str">
        <f t="shared" si="80"/>
        <v/>
      </c>
      <c r="R55" s="74" t="str">
        <f t="shared" si="80"/>
        <v/>
      </c>
      <c r="S55" s="74" t="str">
        <f t="shared" si="80"/>
        <v/>
      </c>
      <c r="T55" s="74" t="str">
        <f t="shared" si="80"/>
        <v/>
      </c>
      <c r="U55" s="78" t="str">
        <f t="shared" si="80"/>
        <v/>
      </c>
      <c r="V55" s="78" t="str">
        <f t="shared" si="80"/>
        <v/>
      </c>
      <c r="W55" s="74" t="str">
        <f t="shared" si="80"/>
        <v/>
      </c>
      <c r="X55" s="74" t="str">
        <f t="shared" si="80"/>
        <v/>
      </c>
      <c r="Y55" s="74" t="str">
        <f t="shared" si="81"/>
        <v/>
      </c>
      <c r="Z55" s="74" t="str">
        <f t="shared" si="81"/>
        <v/>
      </c>
      <c r="AA55" s="74" t="str">
        <f t="shared" si="81"/>
        <v/>
      </c>
      <c r="AB55" s="78" t="str">
        <f t="shared" si="81"/>
        <v/>
      </c>
      <c r="AC55" s="78" t="str">
        <f t="shared" si="81"/>
        <v/>
      </c>
      <c r="AD55" s="74" t="str">
        <f t="shared" si="81"/>
        <v/>
      </c>
      <c r="AE55" s="74" t="str">
        <f t="shared" si="81"/>
        <v/>
      </c>
      <c r="AF55" s="74" t="str">
        <f t="shared" si="81"/>
        <v/>
      </c>
      <c r="AG55" s="74" t="str">
        <f t="shared" si="81"/>
        <v/>
      </c>
      <c r="AH55" s="74" t="str">
        <f t="shared" si="81"/>
        <v/>
      </c>
      <c r="AI55" s="78" t="str">
        <f t="shared" si="82"/>
        <v/>
      </c>
      <c r="AJ55" s="78" t="str">
        <f t="shared" si="82"/>
        <v/>
      </c>
      <c r="AK55" s="74" t="str">
        <f t="shared" si="82"/>
        <v/>
      </c>
      <c r="AL55" s="74" t="str">
        <f t="shared" si="82"/>
        <v/>
      </c>
      <c r="AM55" s="74" t="str">
        <f t="shared" si="82"/>
        <v/>
      </c>
      <c r="AN55" s="74" t="str">
        <f t="shared" si="82"/>
        <v/>
      </c>
      <c r="AO55" s="74" t="str">
        <f t="shared" si="82"/>
        <v/>
      </c>
      <c r="AP55" s="78" t="str">
        <f t="shared" si="82"/>
        <v/>
      </c>
      <c r="AQ55" s="78" t="str">
        <f t="shared" si="82"/>
        <v/>
      </c>
      <c r="AR55" s="74" t="str">
        <f t="shared" si="82"/>
        <v/>
      </c>
      <c r="AS55" s="74" t="str">
        <f t="shared" si="83"/>
        <v/>
      </c>
      <c r="AT55" s="74" t="str">
        <f t="shared" si="83"/>
        <v/>
      </c>
      <c r="AU55" s="74" t="str">
        <f t="shared" si="83"/>
        <v/>
      </c>
      <c r="AV55" s="74" t="str">
        <f t="shared" si="83"/>
        <v/>
      </c>
      <c r="AW55" s="78" t="str">
        <f t="shared" si="83"/>
        <v/>
      </c>
      <c r="AX55" s="78" t="str">
        <f t="shared" si="83"/>
        <v/>
      </c>
      <c r="AY55" s="74" t="str">
        <f t="shared" si="83"/>
        <v/>
      </c>
      <c r="AZ55" s="74" t="str">
        <f t="shared" si="83"/>
        <v/>
      </c>
      <c r="BA55" s="74" t="str">
        <f t="shared" si="83"/>
        <v/>
      </c>
      <c r="BB55" s="74" t="str">
        <f t="shared" si="83"/>
        <v/>
      </c>
      <c r="BC55" s="74" t="str">
        <f t="shared" si="84"/>
        <v/>
      </c>
      <c r="BD55" s="78" t="str">
        <f t="shared" si="84"/>
        <v/>
      </c>
      <c r="BE55" s="78" t="str">
        <f t="shared" si="84"/>
        <v/>
      </c>
      <c r="BF55" s="74" t="str">
        <f t="shared" si="84"/>
        <v/>
      </c>
      <c r="BG55" s="74" t="str">
        <f t="shared" si="84"/>
        <v/>
      </c>
      <c r="BH55" s="74" t="str">
        <f t="shared" si="84"/>
        <v/>
      </c>
      <c r="BI55" s="74" t="str">
        <f t="shared" si="84"/>
        <v/>
      </c>
      <c r="BJ55" s="75">
        <f t="shared" si="84"/>
        <v>1180</v>
      </c>
      <c r="BK55" s="75">
        <f t="shared" si="84"/>
        <v>1180</v>
      </c>
      <c r="BL55" s="75">
        <f t="shared" si="84"/>
        <v>1180</v>
      </c>
      <c r="BM55" s="75">
        <f t="shared" si="85"/>
        <v>1180</v>
      </c>
      <c r="BN55" s="75">
        <f t="shared" si="85"/>
        <v>1180</v>
      </c>
      <c r="BO55" s="75">
        <f t="shared" si="85"/>
        <v>1180</v>
      </c>
      <c r="BP55" s="75">
        <f t="shared" si="85"/>
        <v>1180</v>
      </c>
      <c r="BQ55" s="76">
        <f t="shared" si="85"/>
        <v>1180</v>
      </c>
      <c r="BR55" s="76">
        <f t="shared" si="85"/>
        <v>1180</v>
      </c>
      <c r="BS55" s="76">
        <f t="shared" si="85"/>
        <v>1180</v>
      </c>
      <c r="BT55" s="77">
        <f t="shared" si="85"/>
        <v>1180</v>
      </c>
      <c r="BU55" s="77">
        <f t="shared" si="85"/>
        <v>1180</v>
      </c>
      <c r="BV55" s="77">
        <f t="shared" si="85"/>
        <v>1180</v>
      </c>
      <c r="BW55" s="74" t="str">
        <f t="shared" si="86"/>
        <v/>
      </c>
      <c r="BX55" s="74" t="str">
        <f t="shared" si="86"/>
        <v/>
      </c>
      <c r="BY55" s="78" t="str">
        <f t="shared" si="86"/>
        <v/>
      </c>
      <c r="BZ55" s="78" t="str">
        <f t="shared" si="86"/>
        <v/>
      </c>
      <c r="CA55" s="74" t="str">
        <f t="shared" si="86"/>
        <v/>
      </c>
      <c r="CB55" s="74" t="str">
        <f t="shared" si="86"/>
        <v/>
      </c>
      <c r="CC55" s="74" t="str">
        <f t="shared" si="86"/>
        <v/>
      </c>
      <c r="CD55" s="74" t="str">
        <f t="shared" si="86"/>
        <v/>
      </c>
      <c r="CE55" s="74" t="str">
        <f t="shared" si="86"/>
        <v/>
      </c>
      <c r="CF55" s="78" t="str">
        <f t="shared" si="86"/>
        <v/>
      </c>
      <c r="CG55" s="78" t="str">
        <f t="shared" si="87"/>
        <v/>
      </c>
      <c r="CH55" s="74" t="str">
        <f t="shared" si="87"/>
        <v/>
      </c>
      <c r="CI55" s="74" t="str">
        <f t="shared" si="87"/>
        <v/>
      </c>
      <c r="CJ55" s="74" t="str">
        <f t="shared" si="87"/>
        <v/>
      </c>
      <c r="CK55" s="74" t="str">
        <f t="shared" si="87"/>
        <v/>
      </c>
      <c r="CL55" s="74" t="str">
        <f t="shared" si="87"/>
        <v/>
      </c>
      <c r="CM55" s="78" t="str">
        <f t="shared" si="87"/>
        <v/>
      </c>
      <c r="CN55" s="78" t="str">
        <f t="shared" si="87"/>
        <v/>
      </c>
      <c r="CO55" s="74" t="str">
        <f t="shared" si="87"/>
        <v/>
      </c>
      <c r="CP55" s="74" t="str">
        <f t="shared" si="87"/>
        <v/>
      </c>
      <c r="CQ55" s="74" t="str">
        <f t="shared" si="88"/>
        <v/>
      </c>
      <c r="CR55" s="74" t="str">
        <f t="shared" si="88"/>
        <v/>
      </c>
      <c r="CS55" s="74" t="str">
        <f t="shared" si="88"/>
        <v/>
      </c>
      <c r="CT55" s="78" t="str">
        <f t="shared" si="88"/>
        <v/>
      </c>
      <c r="CU55" s="78" t="str">
        <f t="shared" si="88"/>
        <v/>
      </c>
      <c r="CV55" s="74" t="str">
        <f t="shared" si="88"/>
        <v/>
      </c>
      <c r="CW55" s="74" t="str">
        <f t="shared" si="88"/>
        <v/>
      </c>
      <c r="CX55" s="74" t="str">
        <f t="shared" si="88"/>
        <v/>
      </c>
      <c r="CY55" s="74" t="str">
        <f t="shared" si="88"/>
        <v/>
      </c>
      <c r="CZ55" s="74" t="str">
        <f t="shared" si="88"/>
        <v/>
      </c>
      <c r="DA55" s="78" t="str">
        <f t="shared" si="89"/>
        <v/>
      </c>
      <c r="DB55" s="78" t="str">
        <f t="shared" si="89"/>
        <v/>
      </c>
      <c r="DC55" s="74" t="str">
        <f t="shared" si="89"/>
        <v/>
      </c>
      <c r="DD55" s="74" t="str">
        <f t="shared" si="89"/>
        <v/>
      </c>
      <c r="DE55" s="74" t="str">
        <f t="shared" si="89"/>
        <v/>
      </c>
      <c r="DF55" s="74" t="str">
        <f t="shared" si="89"/>
        <v/>
      </c>
      <c r="DG55" s="74" t="str">
        <f t="shared" si="89"/>
        <v/>
      </c>
      <c r="DH55" s="78" t="str">
        <f t="shared" si="89"/>
        <v/>
      </c>
      <c r="DI55" s="78" t="str">
        <f t="shared" si="89"/>
        <v/>
      </c>
      <c r="DJ55" s="74" t="str">
        <f t="shared" si="89"/>
        <v/>
      </c>
      <c r="DK55" s="74" t="str">
        <f t="shared" si="90"/>
        <v/>
      </c>
      <c r="DL55" s="74" t="str">
        <f t="shared" si="90"/>
        <v/>
      </c>
      <c r="DM55" s="74" t="str">
        <f t="shared" si="90"/>
        <v/>
      </c>
      <c r="DN55" s="74" t="str">
        <f t="shared" si="90"/>
        <v/>
      </c>
      <c r="DO55" s="78" t="str">
        <f t="shared" si="90"/>
        <v/>
      </c>
      <c r="DP55" s="78" t="str">
        <f t="shared" si="90"/>
        <v/>
      </c>
      <c r="DQ55" s="74" t="str">
        <f t="shared" si="90"/>
        <v/>
      </c>
      <c r="DR55" s="74" t="str">
        <f t="shared" si="90"/>
        <v/>
      </c>
      <c r="DS55" s="74" t="str">
        <f t="shared" si="90"/>
        <v/>
      </c>
      <c r="DT55" s="74" t="str">
        <f t="shared" si="90"/>
        <v/>
      </c>
      <c r="DU55" s="74" t="str">
        <f t="shared" si="91"/>
        <v/>
      </c>
      <c r="DV55" s="78" t="str">
        <f t="shared" si="91"/>
        <v/>
      </c>
      <c r="DW55" s="78" t="str">
        <f t="shared" si="91"/>
        <v/>
      </c>
      <c r="DX55" s="74" t="str">
        <f t="shared" si="91"/>
        <v/>
      </c>
      <c r="DY55" s="74" t="str">
        <f t="shared" si="91"/>
        <v/>
      </c>
      <c r="DZ55" s="74" t="str">
        <f t="shared" si="91"/>
        <v/>
      </c>
      <c r="EA55" s="74" t="str">
        <f t="shared" si="91"/>
        <v/>
      </c>
      <c r="EB55" s="74" t="str">
        <f t="shared" si="91"/>
        <v/>
      </c>
      <c r="EC55" s="78" t="str">
        <f t="shared" si="91"/>
        <v/>
      </c>
      <c r="ED55" s="78" t="str">
        <f t="shared" si="91"/>
        <v/>
      </c>
      <c r="EE55" s="74" t="str">
        <f t="shared" si="92"/>
        <v/>
      </c>
      <c r="EF55" s="74" t="str">
        <f t="shared" si="92"/>
        <v/>
      </c>
      <c r="EG55" s="74" t="str">
        <f t="shared" si="92"/>
        <v/>
      </c>
      <c r="EH55" s="74" t="str">
        <f t="shared" si="92"/>
        <v/>
      </c>
      <c r="EI55" s="74" t="str">
        <f t="shared" si="92"/>
        <v/>
      </c>
      <c r="EJ55" s="78" t="str">
        <f t="shared" si="92"/>
        <v/>
      </c>
      <c r="EK55" s="78" t="str">
        <f t="shared" si="92"/>
        <v/>
      </c>
      <c r="EL55" s="74" t="str">
        <f t="shared" si="92"/>
        <v/>
      </c>
      <c r="EM55" s="74" t="str">
        <f t="shared" si="92"/>
        <v/>
      </c>
      <c r="EN55" s="74" t="str">
        <f t="shared" si="92"/>
        <v/>
      </c>
      <c r="EO55" s="74" t="str">
        <f t="shared" si="93"/>
        <v/>
      </c>
      <c r="EP55" s="74" t="str">
        <f t="shared" si="93"/>
        <v/>
      </c>
      <c r="EQ55" s="78" t="str">
        <f t="shared" si="93"/>
        <v/>
      </c>
      <c r="ER55" s="78" t="str">
        <f t="shared" si="93"/>
        <v/>
      </c>
      <c r="ES55" s="74" t="str">
        <f t="shared" si="93"/>
        <v/>
      </c>
      <c r="ET55" s="74" t="str">
        <f t="shared" si="93"/>
        <v/>
      </c>
      <c r="EU55" s="74" t="str">
        <f t="shared" si="93"/>
        <v/>
      </c>
      <c r="EV55" s="74" t="str">
        <f t="shared" si="93"/>
        <v/>
      </c>
      <c r="EW55" s="74" t="str">
        <f t="shared" si="93"/>
        <v/>
      </c>
      <c r="EX55" s="78" t="str">
        <f t="shared" si="93"/>
        <v/>
      </c>
      <c r="EY55" s="78" t="str">
        <f t="shared" si="94"/>
        <v/>
      </c>
      <c r="EZ55" s="74" t="str">
        <f t="shared" si="94"/>
        <v/>
      </c>
      <c r="FA55" s="74" t="str">
        <f t="shared" si="94"/>
        <v/>
      </c>
      <c r="FB55" s="74" t="str">
        <f t="shared" si="94"/>
        <v/>
      </c>
      <c r="FC55" s="74" t="str">
        <f t="shared" si="94"/>
        <v/>
      </c>
      <c r="FD55" s="74" t="str">
        <f t="shared" si="94"/>
        <v/>
      </c>
      <c r="FE55" s="78" t="str">
        <f t="shared" si="94"/>
        <v/>
      </c>
      <c r="FF55" s="78" t="str">
        <f t="shared" si="94"/>
        <v/>
      </c>
      <c r="FG55" s="74" t="str">
        <f t="shared" si="94"/>
        <v/>
      </c>
      <c r="FH55" s="74" t="str">
        <f t="shared" si="94"/>
        <v/>
      </c>
      <c r="FI55" s="74" t="str">
        <f t="shared" si="95"/>
        <v/>
      </c>
      <c r="FJ55" s="74" t="str">
        <f t="shared" si="95"/>
        <v/>
      </c>
      <c r="FK55" s="74" t="str">
        <f t="shared" si="95"/>
        <v/>
      </c>
      <c r="FL55" s="78" t="str">
        <f t="shared" si="95"/>
        <v/>
      </c>
      <c r="FM55" s="78" t="str">
        <f t="shared" si="95"/>
        <v/>
      </c>
      <c r="FN55" s="74" t="str">
        <f t="shared" si="95"/>
        <v/>
      </c>
      <c r="FO55" s="74" t="str">
        <f t="shared" si="95"/>
        <v/>
      </c>
      <c r="FP55" s="74" t="str">
        <f t="shared" si="95"/>
        <v/>
      </c>
      <c r="FQ55" s="74" t="str">
        <f t="shared" si="95"/>
        <v/>
      </c>
      <c r="FR55" s="74" t="str">
        <f t="shared" si="95"/>
        <v/>
      </c>
      <c r="FS55" s="78" t="str">
        <f t="shared" si="96"/>
        <v/>
      </c>
      <c r="FT55" s="78" t="str">
        <f t="shared" si="96"/>
        <v/>
      </c>
      <c r="FU55" s="74" t="str">
        <f t="shared" si="96"/>
        <v/>
      </c>
      <c r="FV55" s="74" t="str">
        <f t="shared" si="96"/>
        <v/>
      </c>
      <c r="FW55" s="74" t="str">
        <f t="shared" si="96"/>
        <v/>
      </c>
      <c r="FX55" s="74" t="str">
        <f t="shared" si="96"/>
        <v/>
      </c>
      <c r="FY55" s="74" t="str">
        <f t="shared" si="96"/>
        <v/>
      </c>
      <c r="FZ55" s="78" t="str">
        <f t="shared" si="96"/>
        <v/>
      </c>
      <c r="GA55" s="78" t="str">
        <f t="shared" si="96"/>
        <v/>
      </c>
      <c r="GB55" s="74" t="str">
        <f t="shared" si="96"/>
        <v/>
      </c>
      <c r="GC55" s="74" t="str">
        <f t="shared" si="97"/>
        <v/>
      </c>
      <c r="GD55" s="74" t="str">
        <f t="shared" si="97"/>
        <v/>
      </c>
      <c r="GE55" s="74" t="str">
        <f t="shared" si="97"/>
        <v/>
      </c>
      <c r="GF55" s="74" t="str">
        <f t="shared" si="97"/>
        <v/>
      </c>
      <c r="GG55" s="78" t="str">
        <f t="shared" si="97"/>
        <v/>
      </c>
      <c r="GH55" s="78" t="str">
        <f t="shared" si="97"/>
        <v/>
      </c>
      <c r="GI55" s="74" t="str">
        <f t="shared" si="97"/>
        <v/>
      </c>
      <c r="GJ55" s="74" t="str">
        <f t="shared" si="97"/>
        <v/>
      </c>
      <c r="GK55" s="74" t="str">
        <f t="shared" si="97"/>
        <v/>
      </c>
      <c r="GL55" s="74" t="str">
        <f t="shared" si="97"/>
        <v/>
      </c>
      <c r="GM55" s="74" t="str">
        <f t="shared" si="98"/>
        <v/>
      </c>
      <c r="GN55" s="78" t="str">
        <f t="shared" si="98"/>
        <v/>
      </c>
      <c r="GO55" s="78" t="str">
        <f t="shared" si="98"/>
        <v/>
      </c>
      <c r="GP55" s="74" t="str">
        <f t="shared" si="98"/>
        <v/>
      </c>
      <c r="GQ55" s="74" t="str">
        <f t="shared" si="98"/>
        <v/>
      </c>
      <c r="GR55" s="74" t="str">
        <f t="shared" si="98"/>
        <v/>
      </c>
      <c r="GS55" s="74" t="str">
        <f t="shared" si="98"/>
        <v/>
      </c>
      <c r="GT55" s="74" t="str">
        <f t="shared" si="98"/>
        <v/>
      </c>
      <c r="GU55" s="78" t="str">
        <f t="shared" si="98"/>
        <v/>
      </c>
      <c r="GV55" s="78" t="str">
        <f t="shared" si="98"/>
        <v/>
      </c>
      <c r="GW55" s="74" t="str">
        <f t="shared" si="99"/>
        <v/>
      </c>
      <c r="GX55" s="74" t="str">
        <f t="shared" si="99"/>
        <v/>
      </c>
      <c r="GY55" s="74" t="str">
        <f t="shared" si="99"/>
        <v/>
      </c>
      <c r="GZ55" s="74" t="str">
        <f t="shared" si="99"/>
        <v/>
      </c>
      <c r="HA55" s="74" t="str">
        <f t="shared" si="99"/>
        <v/>
      </c>
      <c r="HB55" s="78" t="str">
        <f t="shared" si="99"/>
        <v/>
      </c>
      <c r="HC55" s="78" t="str">
        <f t="shared" si="99"/>
        <v/>
      </c>
      <c r="HD55" s="74" t="str">
        <f t="shared" si="99"/>
        <v/>
      </c>
      <c r="HE55" s="74" t="str">
        <f t="shared" si="99"/>
        <v/>
      </c>
      <c r="HF55" s="74" t="str">
        <f t="shared" si="99"/>
        <v/>
      </c>
      <c r="HG55" s="74" t="str">
        <f t="shared" si="99"/>
        <v/>
      </c>
      <c r="HH55" s="74" t="str">
        <f t="shared" si="99"/>
        <v/>
      </c>
    </row>
    <row r="56" spans="1:216" x14ac:dyDescent="0.2">
      <c r="A56" s="82" t="str">
        <f>'FY1 Event Pipeline'!A11</f>
        <v>MOTN AUH</v>
      </c>
      <c r="B56" s="83">
        <f>_xlfn.XLOOKUP(A56,'FY1 Event Pipeline'!$A$4:$A$15,'FY1 Event Pipeline'!$H$4:$H$15)</f>
        <v>46346</v>
      </c>
      <c r="C56" s="83">
        <f>_xlfn.XLOOKUP(A56,'FY1 Event Pipeline'!$A$4:$A$15,'FY1 Event Pipeline'!$J$4:$J$15)</f>
        <v>46398</v>
      </c>
      <c r="D56" s="84">
        <f>_xlfn.XLOOKUP(A56,'FY1 Event Pipeline'!$A$4:$A$15,'FY1 Event Pipeline'!$Q$4:$Q$15)</f>
        <v>1100</v>
      </c>
      <c r="E56" s="74" t="str">
        <f t="shared" si="79"/>
        <v/>
      </c>
      <c r="F56" s="74" t="str">
        <f t="shared" si="79"/>
        <v/>
      </c>
      <c r="G56" s="78" t="str">
        <f t="shared" si="79"/>
        <v/>
      </c>
      <c r="H56" s="78" t="str">
        <f t="shared" si="79"/>
        <v/>
      </c>
      <c r="I56" s="74" t="str">
        <f t="shared" si="79"/>
        <v/>
      </c>
      <c r="J56" s="74" t="str">
        <f t="shared" si="79"/>
        <v/>
      </c>
      <c r="K56" s="74" t="str">
        <f t="shared" si="79"/>
        <v/>
      </c>
      <c r="L56" s="74" t="str">
        <f t="shared" si="79"/>
        <v/>
      </c>
      <c r="M56" s="74" t="str">
        <f t="shared" si="79"/>
        <v/>
      </c>
      <c r="N56" s="78" t="str">
        <f t="shared" si="79"/>
        <v/>
      </c>
      <c r="O56" s="78" t="str">
        <f t="shared" si="80"/>
        <v/>
      </c>
      <c r="P56" s="74" t="str">
        <f t="shared" si="80"/>
        <v/>
      </c>
      <c r="Q56" s="74" t="str">
        <f t="shared" si="80"/>
        <v/>
      </c>
      <c r="R56" s="74" t="str">
        <f t="shared" si="80"/>
        <v/>
      </c>
      <c r="S56" s="74" t="str">
        <f t="shared" si="80"/>
        <v/>
      </c>
      <c r="T56" s="74" t="str">
        <f t="shared" si="80"/>
        <v/>
      </c>
      <c r="U56" s="78" t="str">
        <f t="shared" si="80"/>
        <v/>
      </c>
      <c r="V56" s="78" t="str">
        <f t="shared" si="80"/>
        <v/>
      </c>
      <c r="W56" s="74" t="str">
        <f t="shared" si="80"/>
        <v/>
      </c>
      <c r="X56" s="74" t="str">
        <f t="shared" si="80"/>
        <v/>
      </c>
      <c r="Y56" s="74" t="str">
        <f t="shared" si="81"/>
        <v/>
      </c>
      <c r="Z56" s="74" t="str">
        <f t="shared" si="81"/>
        <v/>
      </c>
      <c r="AA56" s="74" t="str">
        <f t="shared" si="81"/>
        <v/>
      </c>
      <c r="AB56" s="78" t="str">
        <f t="shared" si="81"/>
        <v/>
      </c>
      <c r="AC56" s="78" t="str">
        <f t="shared" si="81"/>
        <v/>
      </c>
      <c r="AD56" s="74" t="str">
        <f t="shared" si="81"/>
        <v/>
      </c>
      <c r="AE56" s="74" t="str">
        <f t="shared" si="81"/>
        <v/>
      </c>
      <c r="AF56" s="74" t="str">
        <f t="shared" si="81"/>
        <v/>
      </c>
      <c r="AG56" s="74" t="str">
        <f t="shared" si="81"/>
        <v/>
      </c>
      <c r="AH56" s="74" t="str">
        <f t="shared" si="81"/>
        <v/>
      </c>
      <c r="AI56" s="78" t="str">
        <f t="shared" si="82"/>
        <v/>
      </c>
      <c r="AJ56" s="78" t="str">
        <f t="shared" si="82"/>
        <v/>
      </c>
      <c r="AK56" s="74" t="str">
        <f t="shared" si="82"/>
        <v/>
      </c>
      <c r="AL56" s="74" t="str">
        <f t="shared" si="82"/>
        <v/>
      </c>
      <c r="AM56" s="74" t="str">
        <f t="shared" si="82"/>
        <v/>
      </c>
      <c r="AN56" s="74" t="str">
        <f t="shared" si="82"/>
        <v/>
      </c>
      <c r="AO56" s="74" t="str">
        <f t="shared" si="82"/>
        <v/>
      </c>
      <c r="AP56" s="78" t="str">
        <f t="shared" si="82"/>
        <v/>
      </c>
      <c r="AQ56" s="78" t="str">
        <f t="shared" si="82"/>
        <v/>
      </c>
      <c r="AR56" s="74" t="str">
        <f t="shared" si="82"/>
        <v/>
      </c>
      <c r="AS56" s="74" t="str">
        <f t="shared" si="83"/>
        <v/>
      </c>
      <c r="AT56" s="74" t="str">
        <f t="shared" si="83"/>
        <v/>
      </c>
      <c r="AU56" s="74" t="str">
        <f t="shared" si="83"/>
        <v/>
      </c>
      <c r="AV56" s="74" t="str">
        <f t="shared" si="83"/>
        <v/>
      </c>
      <c r="AW56" s="78" t="str">
        <f t="shared" si="83"/>
        <v/>
      </c>
      <c r="AX56" s="78" t="str">
        <f t="shared" si="83"/>
        <v/>
      </c>
      <c r="AY56" s="74" t="str">
        <f t="shared" si="83"/>
        <v/>
      </c>
      <c r="AZ56" s="74" t="str">
        <f t="shared" si="83"/>
        <v/>
      </c>
      <c r="BA56" s="74" t="str">
        <f t="shared" si="83"/>
        <v/>
      </c>
      <c r="BB56" s="74" t="str">
        <f t="shared" si="83"/>
        <v/>
      </c>
      <c r="BC56" s="75">
        <f t="shared" si="84"/>
        <v>1100</v>
      </c>
      <c r="BD56" s="75">
        <f t="shared" si="84"/>
        <v>1100</v>
      </c>
      <c r="BE56" s="75">
        <f t="shared" si="84"/>
        <v>1100</v>
      </c>
      <c r="BF56" s="75">
        <f t="shared" si="84"/>
        <v>1100</v>
      </c>
      <c r="BG56" s="75">
        <f t="shared" si="84"/>
        <v>1100</v>
      </c>
      <c r="BH56" s="75">
        <f t="shared" si="84"/>
        <v>1100</v>
      </c>
      <c r="BI56" s="75">
        <f t="shared" si="84"/>
        <v>1100</v>
      </c>
      <c r="BJ56" s="75">
        <f t="shared" si="84"/>
        <v>1100</v>
      </c>
      <c r="BK56" s="75">
        <f t="shared" si="84"/>
        <v>1100</v>
      </c>
      <c r="BL56" s="75">
        <f t="shared" si="84"/>
        <v>1100</v>
      </c>
      <c r="BM56" s="75">
        <f t="shared" si="85"/>
        <v>1100</v>
      </c>
      <c r="BN56" s="75">
        <f t="shared" si="85"/>
        <v>1100</v>
      </c>
      <c r="BO56" s="75">
        <f t="shared" si="85"/>
        <v>1100</v>
      </c>
      <c r="BP56" s="75">
        <f t="shared" si="85"/>
        <v>1100</v>
      </c>
      <c r="BQ56" s="75">
        <f t="shared" si="85"/>
        <v>1100</v>
      </c>
      <c r="BR56" s="75">
        <f t="shared" si="85"/>
        <v>1100</v>
      </c>
      <c r="BS56" s="75">
        <f t="shared" si="85"/>
        <v>1100</v>
      </c>
      <c r="BT56" s="75">
        <f t="shared" si="85"/>
        <v>1100</v>
      </c>
      <c r="BU56" s="75">
        <f t="shared" si="85"/>
        <v>1100</v>
      </c>
      <c r="BV56" s="75">
        <f t="shared" si="85"/>
        <v>1100</v>
      </c>
      <c r="BW56" s="76">
        <f t="shared" si="86"/>
        <v>1100</v>
      </c>
      <c r="BX56" s="76">
        <f t="shared" si="86"/>
        <v>1100</v>
      </c>
      <c r="BY56" s="76">
        <f t="shared" si="86"/>
        <v>1100</v>
      </c>
      <c r="BZ56" s="76">
        <f t="shared" si="86"/>
        <v>1100</v>
      </c>
      <c r="CA56" s="76">
        <f t="shared" si="86"/>
        <v>1100</v>
      </c>
      <c r="CB56" s="76">
        <f t="shared" si="86"/>
        <v>1100</v>
      </c>
      <c r="CC56" s="76">
        <f t="shared" si="86"/>
        <v>1100</v>
      </c>
      <c r="CD56" s="76">
        <f t="shared" si="86"/>
        <v>1100</v>
      </c>
      <c r="CE56" s="76">
        <f t="shared" si="86"/>
        <v>1100</v>
      </c>
      <c r="CF56" s="76">
        <f t="shared" si="86"/>
        <v>1100</v>
      </c>
      <c r="CG56" s="76">
        <f t="shared" si="87"/>
        <v>1100</v>
      </c>
      <c r="CH56" s="76">
        <f t="shared" si="87"/>
        <v>1100</v>
      </c>
      <c r="CI56" s="76">
        <f t="shared" si="87"/>
        <v>1100</v>
      </c>
      <c r="CJ56" s="76">
        <f t="shared" si="87"/>
        <v>1100</v>
      </c>
      <c r="CK56" s="76">
        <f t="shared" si="87"/>
        <v>1100</v>
      </c>
      <c r="CL56" s="76">
        <f t="shared" si="87"/>
        <v>1100</v>
      </c>
      <c r="CM56" s="76">
        <f t="shared" si="87"/>
        <v>1100</v>
      </c>
      <c r="CN56" s="76">
        <f t="shared" si="87"/>
        <v>1100</v>
      </c>
      <c r="CO56" s="76">
        <f t="shared" si="87"/>
        <v>1100</v>
      </c>
      <c r="CP56" s="76">
        <f t="shared" si="87"/>
        <v>1100</v>
      </c>
      <c r="CQ56" s="76">
        <f t="shared" si="88"/>
        <v>1100</v>
      </c>
      <c r="CR56" s="76">
        <f t="shared" si="88"/>
        <v>1100</v>
      </c>
      <c r="CS56" s="76">
        <f t="shared" si="88"/>
        <v>1100</v>
      </c>
      <c r="CT56" s="76">
        <f t="shared" si="88"/>
        <v>1100</v>
      </c>
      <c r="CU56" s="76">
        <f t="shared" si="88"/>
        <v>1100</v>
      </c>
      <c r="CV56" s="76">
        <f t="shared" si="88"/>
        <v>1100</v>
      </c>
      <c r="CW56" s="77">
        <f t="shared" si="88"/>
        <v>1100</v>
      </c>
      <c r="CX56" s="77">
        <f t="shared" si="88"/>
        <v>1100</v>
      </c>
      <c r="CY56" s="77">
        <f t="shared" si="88"/>
        <v>1100</v>
      </c>
      <c r="CZ56" s="77">
        <f t="shared" si="88"/>
        <v>1100</v>
      </c>
      <c r="DA56" s="77">
        <f t="shared" si="89"/>
        <v>1100</v>
      </c>
      <c r="DB56" s="77">
        <f t="shared" si="89"/>
        <v>1100</v>
      </c>
      <c r="DC56" s="77">
        <f t="shared" si="89"/>
        <v>1100</v>
      </c>
      <c r="DD56" s="74" t="str">
        <f t="shared" si="89"/>
        <v/>
      </c>
      <c r="DE56" s="74" t="str">
        <f t="shared" si="89"/>
        <v/>
      </c>
      <c r="DF56" s="74" t="str">
        <f t="shared" si="89"/>
        <v/>
      </c>
      <c r="DG56" s="74" t="str">
        <f t="shared" si="89"/>
        <v/>
      </c>
      <c r="DH56" s="78" t="str">
        <f t="shared" si="89"/>
        <v/>
      </c>
      <c r="DI56" s="78" t="str">
        <f t="shared" si="89"/>
        <v/>
      </c>
      <c r="DJ56" s="74" t="str">
        <f t="shared" si="89"/>
        <v/>
      </c>
      <c r="DK56" s="74" t="str">
        <f t="shared" si="90"/>
        <v/>
      </c>
      <c r="DL56" s="74" t="str">
        <f t="shared" si="90"/>
        <v/>
      </c>
      <c r="DM56" s="74" t="str">
        <f t="shared" si="90"/>
        <v/>
      </c>
      <c r="DN56" s="74" t="str">
        <f t="shared" si="90"/>
        <v/>
      </c>
      <c r="DO56" s="78" t="str">
        <f t="shared" si="90"/>
        <v/>
      </c>
      <c r="DP56" s="78" t="str">
        <f t="shared" si="90"/>
        <v/>
      </c>
      <c r="DQ56" s="74" t="str">
        <f t="shared" si="90"/>
        <v/>
      </c>
      <c r="DR56" s="74" t="str">
        <f t="shared" si="90"/>
        <v/>
      </c>
      <c r="DS56" s="74" t="str">
        <f t="shared" si="90"/>
        <v/>
      </c>
      <c r="DT56" s="74" t="str">
        <f t="shared" si="90"/>
        <v/>
      </c>
      <c r="DU56" s="74" t="str">
        <f t="shared" si="91"/>
        <v/>
      </c>
      <c r="DV56" s="78" t="str">
        <f t="shared" si="91"/>
        <v/>
      </c>
      <c r="DW56" s="78" t="str">
        <f t="shared" si="91"/>
        <v/>
      </c>
      <c r="DX56" s="74" t="str">
        <f t="shared" si="91"/>
        <v/>
      </c>
      <c r="DY56" s="74" t="str">
        <f t="shared" si="91"/>
        <v/>
      </c>
      <c r="DZ56" s="74" t="str">
        <f t="shared" si="91"/>
        <v/>
      </c>
      <c r="EA56" s="74" t="str">
        <f t="shared" si="91"/>
        <v/>
      </c>
      <c r="EB56" s="74" t="str">
        <f t="shared" si="91"/>
        <v/>
      </c>
      <c r="EC56" s="78" t="str">
        <f t="shared" si="91"/>
        <v/>
      </c>
      <c r="ED56" s="78" t="str">
        <f t="shared" si="91"/>
        <v/>
      </c>
      <c r="EE56" s="74" t="str">
        <f t="shared" si="92"/>
        <v/>
      </c>
      <c r="EF56" s="74" t="str">
        <f t="shared" si="92"/>
        <v/>
      </c>
      <c r="EG56" s="74" t="str">
        <f t="shared" si="92"/>
        <v/>
      </c>
      <c r="EH56" s="74" t="str">
        <f t="shared" si="92"/>
        <v/>
      </c>
      <c r="EI56" s="74" t="str">
        <f t="shared" si="92"/>
        <v/>
      </c>
      <c r="EJ56" s="78" t="str">
        <f t="shared" si="92"/>
        <v/>
      </c>
      <c r="EK56" s="78" t="str">
        <f t="shared" si="92"/>
        <v/>
      </c>
      <c r="EL56" s="74" t="str">
        <f t="shared" si="92"/>
        <v/>
      </c>
      <c r="EM56" s="74" t="str">
        <f t="shared" si="92"/>
        <v/>
      </c>
      <c r="EN56" s="74" t="str">
        <f t="shared" si="92"/>
        <v/>
      </c>
      <c r="EO56" s="74" t="str">
        <f t="shared" si="93"/>
        <v/>
      </c>
      <c r="EP56" s="74" t="str">
        <f t="shared" si="93"/>
        <v/>
      </c>
      <c r="EQ56" s="78" t="str">
        <f t="shared" si="93"/>
        <v/>
      </c>
      <c r="ER56" s="78" t="str">
        <f t="shared" si="93"/>
        <v/>
      </c>
      <c r="ES56" s="74" t="str">
        <f t="shared" si="93"/>
        <v/>
      </c>
      <c r="ET56" s="74" t="str">
        <f t="shared" si="93"/>
        <v/>
      </c>
      <c r="EU56" s="74" t="str">
        <f t="shared" si="93"/>
        <v/>
      </c>
      <c r="EV56" s="74" t="str">
        <f t="shared" si="93"/>
        <v/>
      </c>
      <c r="EW56" s="74" t="str">
        <f t="shared" si="93"/>
        <v/>
      </c>
      <c r="EX56" s="78" t="str">
        <f t="shared" si="93"/>
        <v/>
      </c>
      <c r="EY56" s="78" t="str">
        <f t="shared" si="94"/>
        <v/>
      </c>
      <c r="EZ56" s="74" t="str">
        <f t="shared" si="94"/>
        <v/>
      </c>
      <c r="FA56" s="74" t="str">
        <f t="shared" si="94"/>
        <v/>
      </c>
      <c r="FB56" s="74" t="str">
        <f t="shared" si="94"/>
        <v/>
      </c>
      <c r="FC56" s="74" t="str">
        <f t="shared" si="94"/>
        <v/>
      </c>
      <c r="FD56" s="74" t="str">
        <f t="shared" si="94"/>
        <v/>
      </c>
      <c r="FE56" s="78" t="str">
        <f t="shared" si="94"/>
        <v/>
      </c>
      <c r="FF56" s="78" t="str">
        <f t="shared" si="94"/>
        <v/>
      </c>
      <c r="FG56" s="74" t="str">
        <f t="shared" si="94"/>
        <v/>
      </c>
      <c r="FH56" s="74" t="str">
        <f t="shared" si="94"/>
        <v/>
      </c>
      <c r="FI56" s="74" t="str">
        <f t="shared" si="95"/>
        <v/>
      </c>
      <c r="FJ56" s="74" t="str">
        <f t="shared" si="95"/>
        <v/>
      </c>
      <c r="FK56" s="74" t="str">
        <f t="shared" si="95"/>
        <v/>
      </c>
      <c r="FL56" s="78" t="str">
        <f t="shared" si="95"/>
        <v/>
      </c>
      <c r="FM56" s="78" t="str">
        <f t="shared" si="95"/>
        <v/>
      </c>
      <c r="FN56" s="74" t="str">
        <f t="shared" si="95"/>
        <v/>
      </c>
      <c r="FO56" s="74" t="str">
        <f t="shared" si="95"/>
        <v/>
      </c>
      <c r="FP56" s="74" t="str">
        <f t="shared" si="95"/>
        <v/>
      </c>
      <c r="FQ56" s="74" t="str">
        <f t="shared" si="95"/>
        <v/>
      </c>
      <c r="FR56" s="74" t="str">
        <f t="shared" si="95"/>
        <v/>
      </c>
      <c r="FS56" s="78" t="str">
        <f t="shared" si="96"/>
        <v/>
      </c>
      <c r="FT56" s="78" t="str">
        <f t="shared" si="96"/>
        <v/>
      </c>
      <c r="FU56" s="74" t="str">
        <f t="shared" si="96"/>
        <v/>
      </c>
      <c r="FV56" s="74" t="str">
        <f t="shared" si="96"/>
        <v/>
      </c>
      <c r="FW56" s="74" t="str">
        <f t="shared" si="96"/>
        <v/>
      </c>
      <c r="FX56" s="74" t="str">
        <f t="shared" si="96"/>
        <v/>
      </c>
      <c r="FY56" s="74" t="str">
        <f t="shared" si="96"/>
        <v/>
      </c>
      <c r="FZ56" s="78" t="str">
        <f t="shared" si="96"/>
        <v/>
      </c>
      <c r="GA56" s="78" t="str">
        <f t="shared" si="96"/>
        <v/>
      </c>
      <c r="GB56" s="74" t="str">
        <f t="shared" si="96"/>
        <v/>
      </c>
      <c r="GC56" s="74" t="str">
        <f t="shared" si="97"/>
        <v/>
      </c>
      <c r="GD56" s="74" t="str">
        <f t="shared" si="97"/>
        <v/>
      </c>
      <c r="GE56" s="74" t="str">
        <f t="shared" si="97"/>
        <v/>
      </c>
      <c r="GF56" s="74" t="str">
        <f t="shared" si="97"/>
        <v/>
      </c>
      <c r="GG56" s="78" t="str">
        <f t="shared" si="97"/>
        <v/>
      </c>
      <c r="GH56" s="78" t="str">
        <f t="shared" si="97"/>
        <v/>
      </c>
      <c r="GI56" s="74" t="str">
        <f t="shared" si="97"/>
        <v/>
      </c>
      <c r="GJ56" s="74" t="str">
        <f t="shared" si="97"/>
        <v/>
      </c>
      <c r="GK56" s="74" t="str">
        <f t="shared" si="97"/>
        <v/>
      </c>
      <c r="GL56" s="74" t="str">
        <f t="shared" si="97"/>
        <v/>
      </c>
      <c r="GM56" s="74" t="str">
        <f t="shared" si="98"/>
        <v/>
      </c>
      <c r="GN56" s="78" t="str">
        <f t="shared" si="98"/>
        <v/>
      </c>
      <c r="GO56" s="78" t="str">
        <f t="shared" si="98"/>
        <v/>
      </c>
      <c r="GP56" s="74" t="str">
        <f t="shared" si="98"/>
        <v/>
      </c>
      <c r="GQ56" s="74" t="str">
        <f t="shared" si="98"/>
        <v/>
      </c>
      <c r="GR56" s="74" t="str">
        <f t="shared" si="98"/>
        <v/>
      </c>
      <c r="GS56" s="74" t="str">
        <f t="shared" si="98"/>
        <v/>
      </c>
      <c r="GT56" s="74" t="str">
        <f t="shared" si="98"/>
        <v/>
      </c>
      <c r="GU56" s="78" t="str">
        <f t="shared" si="98"/>
        <v/>
      </c>
      <c r="GV56" s="78" t="str">
        <f t="shared" si="98"/>
        <v/>
      </c>
      <c r="GW56" s="74" t="str">
        <f t="shared" si="99"/>
        <v/>
      </c>
      <c r="GX56" s="74" t="str">
        <f t="shared" si="99"/>
        <v/>
      </c>
      <c r="GY56" s="74" t="str">
        <f t="shared" si="99"/>
        <v/>
      </c>
      <c r="GZ56" s="74" t="str">
        <f t="shared" si="99"/>
        <v/>
      </c>
      <c r="HA56" s="74" t="str">
        <f t="shared" si="99"/>
        <v/>
      </c>
      <c r="HB56" s="78" t="str">
        <f t="shared" si="99"/>
        <v/>
      </c>
      <c r="HC56" s="78" t="str">
        <f t="shared" si="99"/>
        <v/>
      </c>
      <c r="HD56" s="74" t="str">
        <f t="shared" si="99"/>
        <v/>
      </c>
      <c r="HE56" s="74" t="str">
        <f t="shared" si="99"/>
        <v/>
      </c>
      <c r="HF56" s="74" t="str">
        <f t="shared" si="99"/>
        <v/>
      </c>
      <c r="HG56" s="74" t="str">
        <f t="shared" si="99"/>
        <v/>
      </c>
      <c r="HH56" s="74" t="str">
        <f t="shared" si="99"/>
        <v/>
      </c>
    </row>
    <row r="57" spans="1:216" x14ac:dyDescent="0.2">
      <c r="A57" s="82" t="str">
        <f>'FY1 Event Pipeline'!A12</f>
        <v>Yas Winterfest</v>
      </c>
      <c r="B57" s="83">
        <f>_xlfn.XLOOKUP(A57,'FY1 Event Pipeline'!$A$4:$A$15,'FY1 Event Pipeline'!$H$4:$H$15)</f>
        <v>46352</v>
      </c>
      <c r="C57" s="83">
        <f>_xlfn.XLOOKUP(A57,'FY1 Event Pipeline'!$A$4:$A$15,'FY1 Event Pipeline'!$J$4:$J$15)</f>
        <v>46384</v>
      </c>
      <c r="D57" s="84">
        <f>_xlfn.XLOOKUP(A57,'FY1 Event Pipeline'!$A$4:$A$15,'FY1 Event Pipeline'!$Q$4:$Q$15)</f>
        <v>760</v>
      </c>
      <c r="E57" s="74" t="str">
        <f t="shared" si="79"/>
        <v/>
      </c>
      <c r="F57" s="74" t="str">
        <f t="shared" si="79"/>
        <v/>
      </c>
      <c r="G57" s="78" t="str">
        <f t="shared" si="79"/>
        <v/>
      </c>
      <c r="H57" s="78" t="str">
        <f t="shared" si="79"/>
        <v/>
      </c>
      <c r="I57" s="74" t="str">
        <f t="shared" si="79"/>
        <v/>
      </c>
      <c r="J57" s="74" t="str">
        <f t="shared" si="79"/>
        <v/>
      </c>
      <c r="K57" s="74" t="str">
        <f t="shared" si="79"/>
        <v/>
      </c>
      <c r="L57" s="74" t="str">
        <f t="shared" si="79"/>
        <v/>
      </c>
      <c r="M57" s="74" t="str">
        <f t="shared" si="79"/>
        <v/>
      </c>
      <c r="N57" s="78" t="str">
        <f t="shared" si="79"/>
        <v/>
      </c>
      <c r="O57" s="78" t="str">
        <f t="shared" si="80"/>
        <v/>
      </c>
      <c r="P57" s="74" t="str">
        <f t="shared" si="80"/>
        <v/>
      </c>
      <c r="Q57" s="74" t="str">
        <f t="shared" si="80"/>
        <v/>
      </c>
      <c r="R57" s="74" t="str">
        <f t="shared" si="80"/>
        <v/>
      </c>
      <c r="S57" s="74" t="str">
        <f t="shared" si="80"/>
        <v/>
      </c>
      <c r="T57" s="74" t="str">
        <f t="shared" si="80"/>
        <v/>
      </c>
      <c r="U57" s="78" t="str">
        <f t="shared" si="80"/>
        <v/>
      </c>
      <c r="V57" s="78" t="str">
        <f t="shared" si="80"/>
        <v/>
      </c>
      <c r="W57" s="74" t="str">
        <f t="shared" si="80"/>
        <v/>
      </c>
      <c r="X57" s="74" t="str">
        <f t="shared" si="80"/>
        <v/>
      </c>
      <c r="Y57" s="74" t="str">
        <f t="shared" si="81"/>
        <v/>
      </c>
      <c r="Z57" s="74" t="str">
        <f t="shared" si="81"/>
        <v/>
      </c>
      <c r="AA57" s="74" t="str">
        <f t="shared" si="81"/>
        <v/>
      </c>
      <c r="AB57" s="78" t="str">
        <f t="shared" si="81"/>
        <v/>
      </c>
      <c r="AC57" s="78" t="str">
        <f t="shared" si="81"/>
        <v/>
      </c>
      <c r="AD57" s="74" t="str">
        <f t="shared" si="81"/>
        <v/>
      </c>
      <c r="AE57" s="74" t="str">
        <f t="shared" si="81"/>
        <v/>
      </c>
      <c r="AF57" s="74" t="str">
        <f t="shared" si="81"/>
        <v/>
      </c>
      <c r="AG57" s="74" t="str">
        <f t="shared" si="81"/>
        <v/>
      </c>
      <c r="AH57" s="74" t="str">
        <f t="shared" si="81"/>
        <v/>
      </c>
      <c r="AI57" s="78" t="str">
        <f t="shared" si="82"/>
        <v/>
      </c>
      <c r="AJ57" s="78" t="str">
        <f t="shared" si="82"/>
        <v/>
      </c>
      <c r="AK57" s="74" t="str">
        <f t="shared" si="82"/>
        <v/>
      </c>
      <c r="AL57" s="74" t="str">
        <f t="shared" si="82"/>
        <v/>
      </c>
      <c r="AM57" s="74" t="str">
        <f t="shared" si="82"/>
        <v/>
      </c>
      <c r="AN57" s="74" t="str">
        <f t="shared" si="82"/>
        <v/>
      </c>
      <c r="AO57" s="74" t="str">
        <f t="shared" si="82"/>
        <v/>
      </c>
      <c r="AP57" s="78" t="str">
        <f t="shared" si="82"/>
        <v/>
      </c>
      <c r="AQ57" s="78" t="str">
        <f t="shared" si="82"/>
        <v/>
      </c>
      <c r="AR57" s="74" t="str">
        <f t="shared" si="82"/>
        <v/>
      </c>
      <c r="AS57" s="74" t="str">
        <f t="shared" si="83"/>
        <v/>
      </c>
      <c r="AT57" s="74" t="str">
        <f t="shared" si="83"/>
        <v/>
      </c>
      <c r="AU57" s="74" t="str">
        <f t="shared" si="83"/>
        <v/>
      </c>
      <c r="AV57" s="74" t="str">
        <f t="shared" si="83"/>
        <v/>
      </c>
      <c r="AW57" s="78" t="str">
        <f t="shared" si="83"/>
        <v/>
      </c>
      <c r="AX57" s="78" t="str">
        <f t="shared" si="83"/>
        <v/>
      </c>
      <c r="AY57" s="74" t="str">
        <f t="shared" si="83"/>
        <v/>
      </c>
      <c r="AZ57" s="74" t="str">
        <f t="shared" si="83"/>
        <v/>
      </c>
      <c r="BA57" s="74" t="str">
        <f t="shared" si="83"/>
        <v/>
      </c>
      <c r="BB57" s="74" t="str">
        <f t="shared" si="83"/>
        <v/>
      </c>
      <c r="BC57" s="74" t="str">
        <f t="shared" si="84"/>
        <v/>
      </c>
      <c r="BD57" s="78" t="str">
        <f t="shared" si="84"/>
        <v/>
      </c>
      <c r="BE57" s="78" t="str">
        <f t="shared" si="84"/>
        <v/>
      </c>
      <c r="BF57" s="74" t="str">
        <f t="shared" si="84"/>
        <v/>
      </c>
      <c r="BG57" s="74" t="str">
        <f t="shared" si="84"/>
        <v/>
      </c>
      <c r="BH57" s="74" t="str">
        <f t="shared" si="84"/>
        <v/>
      </c>
      <c r="BI57" s="75">
        <f t="shared" si="84"/>
        <v>760</v>
      </c>
      <c r="BJ57" s="75">
        <f t="shared" si="84"/>
        <v>760</v>
      </c>
      <c r="BK57" s="75">
        <f t="shared" si="84"/>
        <v>760</v>
      </c>
      <c r="BL57" s="75">
        <f t="shared" si="84"/>
        <v>760</v>
      </c>
      <c r="BM57" s="75">
        <f t="shared" si="85"/>
        <v>760</v>
      </c>
      <c r="BN57" s="75">
        <f t="shared" si="85"/>
        <v>760</v>
      </c>
      <c r="BO57" s="75">
        <f t="shared" si="85"/>
        <v>760</v>
      </c>
      <c r="BP57" s="75">
        <f t="shared" si="85"/>
        <v>760</v>
      </c>
      <c r="BQ57" s="75">
        <f t="shared" si="85"/>
        <v>760</v>
      </c>
      <c r="BR57" s="75">
        <f t="shared" si="85"/>
        <v>760</v>
      </c>
      <c r="BS57" s="75">
        <f t="shared" si="85"/>
        <v>760</v>
      </c>
      <c r="BT57" s="75">
        <f t="shared" si="85"/>
        <v>760</v>
      </c>
      <c r="BU57" s="75">
        <f t="shared" si="85"/>
        <v>760</v>
      </c>
      <c r="BV57" s="75">
        <f t="shared" si="85"/>
        <v>760</v>
      </c>
      <c r="BW57" s="75">
        <f t="shared" si="86"/>
        <v>760</v>
      </c>
      <c r="BX57" s="76">
        <f t="shared" si="86"/>
        <v>760</v>
      </c>
      <c r="BY57" s="76">
        <f t="shared" si="86"/>
        <v>760</v>
      </c>
      <c r="BZ57" s="76">
        <f t="shared" si="86"/>
        <v>760</v>
      </c>
      <c r="CA57" s="76">
        <f t="shared" si="86"/>
        <v>760</v>
      </c>
      <c r="CB57" s="76">
        <f t="shared" si="86"/>
        <v>760</v>
      </c>
      <c r="CC57" s="76">
        <f t="shared" si="86"/>
        <v>760</v>
      </c>
      <c r="CD57" s="76">
        <f t="shared" si="86"/>
        <v>760</v>
      </c>
      <c r="CE57" s="76">
        <f t="shared" si="86"/>
        <v>760</v>
      </c>
      <c r="CF57" s="76">
        <f t="shared" si="86"/>
        <v>760</v>
      </c>
      <c r="CG57" s="76">
        <f t="shared" si="87"/>
        <v>760</v>
      </c>
      <c r="CH57" s="76">
        <f t="shared" si="87"/>
        <v>760</v>
      </c>
      <c r="CI57" s="77">
        <f t="shared" si="87"/>
        <v>760</v>
      </c>
      <c r="CJ57" s="77">
        <f t="shared" si="87"/>
        <v>760</v>
      </c>
      <c r="CK57" s="77">
        <f t="shared" si="87"/>
        <v>760</v>
      </c>
      <c r="CL57" s="77">
        <f t="shared" si="87"/>
        <v>760</v>
      </c>
      <c r="CM57" s="77">
        <f t="shared" si="87"/>
        <v>760</v>
      </c>
      <c r="CN57" s="77">
        <f t="shared" si="87"/>
        <v>760</v>
      </c>
      <c r="CO57" s="77">
        <f t="shared" si="87"/>
        <v>760</v>
      </c>
      <c r="CP57" s="74" t="str">
        <f t="shared" si="87"/>
        <v/>
      </c>
      <c r="CQ57" s="74" t="str">
        <f t="shared" si="88"/>
        <v/>
      </c>
      <c r="CR57" s="74" t="str">
        <f t="shared" si="88"/>
        <v/>
      </c>
      <c r="CS57" s="74" t="str">
        <f t="shared" si="88"/>
        <v/>
      </c>
      <c r="CT57" s="78" t="str">
        <f t="shared" si="88"/>
        <v/>
      </c>
      <c r="CU57" s="78" t="str">
        <f t="shared" si="88"/>
        <v/>
      </c>
      <c r="CV57" s="74" t="str">
        <f t="shared" si="88"/>
        <v/>
      </c>
      <c r="CW57" s="74" t="str">
        <f t="shared" si="88"/>
        <v/>
      </c>
      <c r="CX57" s="74" t="str">
        <f t="shared" si="88"/>
        <v/>
      </c>
      <c r="CY57" s="74" t="str">
        <f t="shared" si="88"/>
        <v/>
      </c>
      <c r="CZ57" s="74" t="str">
        <f t="shared" si="88"/>
        <v/>
      </c>
      <c r="DA57" s="78" t="str">
        <f t="shared" si="89"/>
        <v/>
      </c>
      <c r="DB57" s="78" t="str">
        <f t="shared" si="89"/>
        <v/>
      </c>
      <c r="DC57" s="74" t="str">
        <f t="shared" si="89"/>
        <v/>
      </c>
      <c r="DD57" s="74" t="str">
        <f t="shared" si="89"/>
        <v/>
      </c>
      <c r="DE57" s="74" t="str">
        <f t="shared" si="89"/>
        <v/>
      </c>
      <c r="DF57" s="74" t="str">
        <f t="shared" si="89"/>
        <v/>
      </c>
      <c r="DG57" s="74" t="str">
        <f t="shared" si="89"/>
        <v/>
      </c>
      <c r="DH57" s="78" t="str">
        <f t="shared" si="89"/>
        <v/>
      </c>
      <c r="DI57" s="78" t="str">
        <f t="shared" si="89"/>
        <v/>
      </c>
      <c r="DJ57" s="74" t="str">
        <f t="shared" si="89"/>
        <v/>
      </c>
      <c r="DK57" s="74" t="str">
        <f t="shared" si="90"/>
        <v/>
      </c>
      <c r="DL57" s="74" t="str">
        <f t="shared" si="90"/>
        <v/>
      </c>
      <c r="DM57" s="74" t="str">
        <f t="shared" si="90"/>
        <v/>
      </c>
      <c r="DN57" s="74" t="str">
        <f t="shared" si="90"/>
        <v/>
      </c>
      <c r="DO57" s="78" t="str">
        <f t="shared" si="90"/>
        <v/>
      </c>
      <c r="DP57" s="78" t="str">
        <f t="shared" si="90"/>
        <v/>
      </c>
      <c r="DQ57" s="74" t="str">
        <f t="shared" si="90"/>
        <v/>
      </c>
      <c r="DR57" s="74" t="str">
        <f t="shared" si="90"/>
        <v/>
      </c>
      <c r="DS57" s="74" t="str">
        <f t="shared" si="90"/>
        <v/>
      </c>
      <c r="DT57" s="74" t="str">
        <f t="shared" si="90"/>
        <v/>
      </c>
      <c r="DU57" s="74" t="str">
        <f t="shared" si="91"/>
        <v/>
      </c>
      <c r="DV57" s="78" t="str">
        <f t="shared" si="91"/>
        <v/>
      </c>
      <c r="DW57" s="78" t="str">
        <f t="shared" si="91"/>
        <v/>
      </c>
      <c r="DX57" s="74" t="str">
        <f t="shared" si="91"/>
        <v/>
      </c>
      <c r="DY57" s="74" t="str">
        <f t="shared" si="91"/>
        <v/>
      </c>
      <c r="DZ57" s="74" t="str">
        <f t="shared" si="91"/>
        <v/>
      </c>
      <c r="EA57" s="74" t="str">
        <f t="shared" si="91"/>
        <v/>
      </c>
      <c r="EB57" s="74" t="str">
        <f t="shared" si="91"/>
        <v/>
      </c>
      <c r="EC57" s="78" t="str">
        <f t="shared" si="91"/>
        <v/>
      </c>
      <c r="ED57" s="78" t="str">
        <f t="shared" si="91"/>
        <v/>
      </c>
      <c r="EE57" s="74" t="str">
        <f t="shared" si="92"/>
        <v/>
      </c>
      <c r="EF57" s="74" t="str">
        <f t="shared" si="92"/>
        <v/>
      </c>
      <c r="EG57" s="74" t="str">
        <f t="shared" si="92"/>
        <v/>
      </c>
      <c r="EH57" s="74" t="str">
        <f t="shared" si="92"/>
        <v/>
      </c>
      <c r="EI57" s="74" t="str">
        <f t="shared" si="92"/>
        <v/>
      </c>
      <c r="EJ57" s="78" t="str">
        <f t="shared" si="92"/>
        <v/>
      </c>
      <c r="EK57" s="78" t="str">
        <f t="shared" si="92"/>
        <v/>
      </c>
      <c r="EL57" s="74" t="str">
        <f t="shared" si="92"/>
        <v/>
      </c>
      <c r="EM57" s="74" t="str">
        <f t="shared" si="92"/>
        <v/>
      </c>
      <c r="EN57" s="74" t="str">
        <f t="shared" si="92"/>
        <v/>
      </c>
      <c r="EO57" s="74" t="str">
        <f t="shared" si="93"/>
        <v/>
      </c>
      <c r="EP57" s="74" t="str">
        <f t="shared" si="93"/>
        <v/>
      </c>
      <c r="EQ57" s="78" t="str">
        <f t="shared" si="93"/>
        <v/>
      </c>
      <c r="ER57" s="78" t="str">
        <f t="shared" si="93"/>
        <v/>
      </c>
      <c r="ES57" s="74" t="str">
        <f t="shared" si="93"/>
        <v/>
      </c>
      <c r="ET57" s="74" t="str">
        <f t="shared" si="93"/>
        <v/>
      </c>
      <c r="EU57" s="74" t="str">
        <f t="shared" si="93"/>
        <v/>
      </c>
      <c r="EV57" s="74" t="str">
        <f t="shared" si="93"/>
        <v/>
      </c>
      <c r="EW57" s="74" t="str">
        <f t="shared" si="93"/>
        <v/>
      </c>
      <c r="EX57" s="78" t="str">
        <f t="shared" si="93"/>
        <v/>
      </c>
      <c r="EY57" s="78" t="str">
        <f t="shared" si="94"/>
        <v/>
      </c>
      <c r="EZ57" s="74" t="str">
        <f t="shared" si="94"/>
        <v/>
      </c>
      <c r="FA57" s="74" t="str">
        <f t="shared" si="94"/>
        <v/>
      </c>
      <c r="FB57" s="74" t="str">
        <f t="shared" si="94"/>
        <v/>
      </c>
      <c r="FC57" s="74" t="str">
        <f t="shared" si="94"/>
        <v/>
      </c>
      <c r="FD57" s="74" t="str">
        <f t="shared" si="94"/>
        <v/>
      </c>
      <c r="FE57" s="78" t="str">
        <f t="shared" si="94"/>
        <v/>
      </c>
      <c r="FF57" s="78" t="str">
        <f t="shared" si="94"/>
        <v/>
      </c>
      <c r="FG57" s="74" t="str">
        <f t="shared" si="94"/>
        <v/>
      </c>
      <c r="FH57" s="74" t="str">
        <f t="shared" si="94"/>
        <v/>
      </c>
      <c r="FI57" s="74" t="str">
        <f t="shared" si="95"/>
        <v/>
      </c>
      <c r="FJ57" s="74" t="str">
        <f t="shared" si="95"/>
        <v/>
      </c>
      <c r="FK57" s="74" t="str">
        <f t="shared" si="95"/>
        <v/>
      </c>
      <c r="FL57" s="78" t="str">
        <f t="shared" si="95"/>
        <v/>
      </c>
      <c r="FM57" s="78" t="str">
        <f t="shared" si="95"/>
        <v/>
      </c>
      <c r="FN57" s="74" t="str">
        <f t="shared" si="95"/>
        <v/>
      </c>
      <c r="FO57" s="74" t="str">
        <f t="shared" si="95"/>
        <v/>
      </c>
      <c r="FP57" s="74" t="str">
        <f t="shared" si="95"/>
        <v/>
      </c>
      <c r="FQ57" s="74" t="str">
        <f t="shared" si="95"/>
        <v/>
      </c>
      <c r="FR57" s="74" t="str">
        <f t="shared" si="95"/>
        <v/>
      </c>
      <c r="FS57" s="78" t="str">
        <f t="shared" si="96"/>
        <v/>
      </c>
      <c r="FT57" s="78" t="str">
        <f t="shared" si="96"/>
        <v/>
      </c>
      <c r="FU57" s="74" t="str">
        <f t="shared" si="96"/>
        <v/>
      </c>
      <c r="FV57" s="74" t="str">
        <f t="shared" si="96"/>
        <v/>
      </c>
      <c r="FW57" s="74" t="str">
        <f t="shared" si="96"/>
        <v/>
      </c>
      <c r="FX57" s="74" t="str">
        <f t="shared" si="96"/>
        <v/>
      </c>
      <c r="FY57" s="74" t="str">
        <f t="shared" si="96"/>
        <v/>
      </c>
      <c r="FZ57" s="78" t="str">
        <f t="shared" si="96"/>
        <v/>
      </c>
      <c r="GA57" s="78" t="str">
        <f t="shared" si="96"/>
        <v/>
      </c>
      <c r="GB57" s="74" t="str">
        <f t="shared" si="96"/>
        <v/>
      </c>
      <c r="GC57" s="74" t="str">
        <f t="shared" si="97"/>
        <v/>
      </c>
      <c r="GD57" s="74" t="str">
        <f t="shared" si="97"/>
        <v/>
      </c>
      <c r="GE57" s="74" t="str">
        <f t="shared" si="97"/>
        <v/>
      </c>
      <c r="GF57" s="74" t="str">
        <f t="shared" si="97"/>
        <v/>
      </c>
      <c r="GG57" s="78" t="str">
        <f t="shared" si="97"/>
        <v/>
      </c>
      <c r="GH57" s="78" t="str">
        <f t="shared" si="97"/>
        <v/>
      </c>
      <c r="GI57" s="74" t="str">
        <f t="shared" si="97"/>
        <v/>
      </c>
      <c r="GJ57" s="74" t="str">
        <f t="shared" si="97"/>
        <v/>
      </c>
      <c r="GK57" s="74" t="str">
        <f t="shared" si="97"/>
        <v/>
      </c>
      <c r="GL57" s="74" t="str">
        <f t="shared" si="97"/>
        <v/>
      </c>
      <c r="GM57" s="74" t="str">
        <f t="shared" si="98"/>
        <v/>
      </c>
      <c r="GN57" s="78" t="str">
        <f t="shared" si="98"/>
        <v/>
      </c>
      <c r="GO57" s="78" t="str">
        <f t="shared" si="98"/>
        <v/>
      </c>
      <c r="GP57" s="74" t="str">
        <f t="shared" si="98"/>
        <v/>
      </c>
      <c r="GQ57" s="74" t="str">
        <f t="shared" si="98"/>
        <v/>
      </c>
      <c r="GR57" s="74" t="str">
        <f t="shared" si="98"/>
        <v/>
      </c>
      <c r="GS57" s="74" t="str">
        <f t="shared" si="98"/>
        <v/>
      </c>
      <c r="GT57" s="74" t="str">
        <f t="shared" si="98"/>
        <v/>
      </c>
      <c r="GU57" s="78" t="str">
        <f t="shared" si="98"/>
        <v/>
      </c>
      <c r="GV57" s="78" t="str">
        <f t="shared" si="98"/>
        <v/>
      </c>
      <c r="GW57" s="74" t="str">
        <f t="shared" si="99"/>
        <v/>
      </c>
      <c r="GX57" s="74" t="str">
        <f t="shared" si="99"/>
        <v/>
      </c>
      <c r="GY57" s="74" t="str">
        <f t="shared" si="99"/>
        <v/>
      </c>
      <c r="GZ57" s="74" t="str">
        <f t="shared" si="99"/>
        <v/>
      </c>
      <c r="HA57" s="74" t="str">
        <f t="shared" si="99"/>
        <v/>
      </c>
      <c r="HB57" s="78" t="str">
        <f t="shared" si="99"/>
        <v/>
      </c>
      <c r="HC57" s="78" t="str">
        <f t="shared" si="99"/>
        <v/>
      </c>
      <c r="HD57" s="74" t="str">
        <f t="shared" si="99"/>
        <v/>
      </c>
      <c r="HE57" s="74" t="str">
        <f t="shared" si="99"/>
        <v/>
      </c>
      <c r="HF57" s="74" t="str">
        <f t="shared" si="99"/>
        <v/>
      </c>
      <c r="HG57" s="74" t="str">
        <f t="shared" si="99"/>
        <v/>
      </c>
      <c r="HH57" s="74" t="str">
        <f t="shared" si="99"/>
        <v/>
      </c>
    </row>
    <row r="58" spans="1:216" x14ac:dyDescent="0.2">
      <c r="A58" s="82" t="str">
        <f>'FY1 Event Pipeline'!A13</f>
        <v>Animenia</v>
      </c>
      <c r="B58" s="83">
        <f>_xlfn.XLOOKUP(A58,'FY1 Event Pipeline'!$A$4:$A$15,'FY1 Event Pipeline'!$H$4:$H$15)</f>
        <v>46414</v>
      </c>
      <c r="C58" s="83">
        <f>_xlfn.XLOOKUP(A58,'FY1 Event Pipeline'!$A$4:$A$15,'FY1 Event Pipeline'!$J$4:$J$15)</f>
        <v>46436</v>
      </c>
      <c r="D58" s="84">
        <f>_xlfn.XLOOKUP(A58,'FY1 Event Pipeline'!$A$4:$A$15,'FY1 Event Pipeline'!$Q$4:$Q$15)</f>
        <v>192</v>
      </c>
      <c r="E58" s="74" t="str">
        <f t="shared" si="79"/>
        <v/>
      </c>
      <c r="F58" s="74" t="str">
        <f t="shared" si="79"/>
        <v/>
      </c>
      <c r="G58" s="78" t="str">
        <f t="shared" si="79"/>
        <v/>
      </c>
      <c r="H58" s="78" t="str">
        <f t="shared" si="79"/>
        <v/>
      </c>
      <c r="I58" s="74" t="str">
        <f t="shared" si="79"/>
        <v/>
      </c>
      <c r="J58" s="74" t="str">
        <f t="shared" si="79"/>
        <v/>
      </c>
      <c r="K58" s="74" t="str">
        <f t="shared" si="79"/>
        <v/>
      </c>
      <c r="L58" s="74" t="str">
        <f t="shared" si="79"/>
        <v/>
      </c>
      <c r="M58" s="74" t="str">
        <f t="shared" si="79"/>
        <v/>
      </c>
      <c r="N58" s="78" t="str">
        <f t="shared" si="79"/>
        <v/>
      </c>
      <c r="O58" s="78" t="str">
        <f t="shared" si="80"/>
        <v/>
      </c>
      <c r="P58" s="74" t="str">
        <f t="shared" si="80"/>
        <v/>
      </c>
      <c r="Q58" s="74" t="str">
        <f t="shared" si="80"/>
        <v/>
      </c>
      <c r="R58" s="74" t="str">
        <f t="shared" si="80"/>
        <v/>
      </c>
      <c r="S58" s="74" t="str">
        <f t="shared" si="80"/>
        <v/>
      </c>
      <c r="T58" s="74" t="str">
        <f t="shared" si="80"/>
        <v/>
      </c>
      <c r="U58" s="78" t="str">
        <f t="shared" si="80"/>
        <v/>
      </c>
      <c r="V58" s="78" t="str">
        <f t="shared" si="80"/>
        <v/>
      </c>
      <c r="W58" s="74" t="str">
        <f t="shared" si="80"/>
        <v/>
      </c>
      <c r="X58" s="74" t="str">
        <f t="shared" si="80"/>
        <v/>
      </c>
      <c r="Y58" s="74" t="str">
        <f t="shared" si="81"/>
        <v/>
      </c>
      <c r="Z58" s="74" t="str">
        <f t="shared" si="81"/>
        <v/>
      </c>
      <c r="AA58" s="74" t="str">
        <f t="shared" si="81"/>
        <v/>
      </c>
      <c r="AB58" s="78" t="str">
        <f t="shared" si="81"/>
        <v/>
      </c>
      <c r="AC58" s="78" t="str">
        <f t="shared" si="81"/>
        <v/>
      </c>
      <c r="AD58" s="74" t="str">
        <f t="shared" si="81"/>
        <v/>
      </c>
      <c r="AE58" s="74" t="str">
        <f t="shared" si="81"/>
        <v/>
      </c>
      <c r="AF58" s="74" t="str">
        <f t="shared" si="81"/>
        <v/>
      </c>
      <c r="AG58" s="74" t="str">
        <f t="shared" si="81"/>
        <v/>
      </c>
      <c r="AH58" s="74" t="str">
        <f t="shared" si="81"/>
        <v/>
      </c>
      <c r="AI58" s="78" t="str">
        <f t="shared" si="82"/>
        <v/>
      </c>
      <c r="AJ58" s="78" t="str">
        <f t="shared" si="82"/>
        <v/>
      </c>
      <c r="AK58" s="74" t="str">
        <f t="shared" si="82"/>
        <v/>
      </c>
      <c r="AL58" s="74" t="str">
        <f t="shared" si="82"/>
        <v/>
      </c>
      <c r="AM58" s="74" t="str">
        <f t="shared" si="82"/>
        <v/>
      </c>
      <c r="AN58" s="74" t="str">
        <f t="shared" si="82"/>
        <v/>
      </c>
      <c r="AO58" s="74" t="str">
        <f t="shared" si="82"/>
        <v/>
      </c>
      <c r="AP58" s="78" t="str">
        <f t="shared" si="82"/>
        <v/>
      </c>
      <c r="AQ58" s="78" t="str">
        <f t="shared" si="82"/>
        <v/>
      </c>
      <c r="AR58" s="74" t="str">
        <f t="shared" si="82"/>
        <v/>
      </c>
      <c r="AS58" s="74" t="str">
        <f t="shared" si="83"/>
        <v/>
      </c>
      <c r="AT58" s="74" t="str">
        <f t="shared" si="83"/>
        <v/>
      </c>
      <c r="AU58" s="74" t="str">
        <f t="shared" si="83"/>
        <v/>
      </c>
      <c r="AV58" s="74" t="str">
        <f t="shared" si="83"/>
        <v/>
      </c>
      <c r="AW58" s="78" t="str">
        <f t="shared" si="83"/>
        <v/>
      </c>
      <c r="AX58" s="78" t="str">
        <f t="shared" si="83"/>
        <v/>
      </c>
      <c r="AY58" s="74" t="str">
        <f t="shared" si="83"/>
        <v/>
      </c>
      <c r="AZ58" s="74" t="str">
        <f t="shared" si="83"/>
        <v/>
      </c>
      <c r="BA58" s="74" t="str">
        <f t="shared" si="83"/>
        <v/>
      </c>
      <c r="BB58" s="74" t="str">
        <f t="shared" si="83"/>
        <v/>
      </c>
      <c r="BC58" s="74" t="str">
        <f t="shared" si="84"/>
        <v/>
      </c>
      <c r="BD58" s="78" t="str">
        <f t="shared" si="84"/>
        <v/>
      </c>
      <c r="BE58" s="78" t="str">
        <f t="shared" si="84"/>
        <v/>
      </c>
      <c r="BF58" s="74" t="str">
        <f t="shared" si="84"/>
        <v/>
      </c>
      <c r="BG58" s="74" t="str">
        <f t="shared" si="84"/>
        <v/>
      </c>
      <c r="BH58" s="74" t="str">
        <f t="shared" si="84"/>
        <v/>
      </c>
      <c r="BI58" s="74" t="str">
        <f t="shared" si="84"/>
        <v/>
      </c>
      <c r="BJ58" s="74" t="str">
        <f t="shared" si="84"/>
        <v/>
      </c>
      <c r="BK58" s="78" t="str">
        <f t="shared" si="84"/>
        <v/>
      </c>
      <c r="BL58" s="78" t="str">
        <f t="shared" si="84"/>
        <v/>
      </c>
      <c r="BM58" s="74" t="str">
        <f t="shared" si="85"/>
        <v/>
      </c>
      <c r="BN58" s="74" t="str">
        <f t="shared" si="85"/>
        <v/>
      </c>
      <c r="BO58" s="74" t="str">
        <f t="shared" si="85"/>
        <v/>
      </c>
      <c r="BP58" s="74" t="str">
        <f t="shared" si="85"/>
        <v/>
      </c>
      <c r="BQ58" s="74" t="str">
        <f t="shared" si="85"/>
        <v/>
      </c>
      <c r="BR58" s="78" t="str">
        <f t="shared" si="85"/>
        <v/>
      </c>
      <c r="BS58" s="78" t="str">
        <f t="shared" si="85"/>
        <v/>
      </c>
      <c r="BT58" s="74" t="str">
        <f t="shared" si="85"/>
        <v/>
      </c>
      <c r="BU58" s="74" t="str">
        <f t="shared" si="85"/>
        <v/>
      </c>
      <c r="BV58" s="74" t="str">
        <f t="shared" si="85"/>
        <v/>
      </c>
      <c r="BW58" s="74" t="str">
        <f t="shared" si="86"/>
        <v/>
      </c>
      <c r="BX58" s="74" t="str">
        <f t="shared" si="86"/>
        <v/>
      </c>
      <c r="BY58" s="78" t="str">
        <f t="shared" si="86"/>
        <v/>
      </c>
      <c r="BZ58" s="78" t="str">
        <f t="shared" si="86"/>
        <v/>
      </c>
      <c r="CA58" s="74" t="str">
        <f t="shared" si="86"/>
        <v/>
      </c>
      <c r="CB58" s="74" t="str">
        <f t="shared" si="86"/>
        <v/>
      </c>
      <c r="CC58" s="74" t="str">
        <f t="shared" si="86"/>
        <v/>
      </c>
      <c r="CD58" s="74" t="str">
        <f t="shared" si="86"/>
        <v/>
      </c>
      <c r="CE58" s="74" t="str">
        <f t="shared" si="86"/>
        <v/>
      </c>
      <c r="CF58" s="78" t="str">
        <f t="shared" si="86"/>
        <v/>
      </c>
      <c r="CG58" s="78" t="str">
        <f t="shared" si="87"/>
        <v/>
      </c>
      <c r="CH58" s="74" t="str">
        <f t="shared" si="87"/>
        <v/>
      </c>
      <c r="CI58" s="74" t="str">
        <f t="shared" si="87"/>
        <v/>
      </c>
      <c r="CJ58" s="74" t="str">
        <f t="shared" si="87"/>
        <v/>
      </c>
      <c r="CK58" s="74" t="str">
        <f t="shared" si="87"/>
        <v/>
      </c>
      <c r="CL58" s="74" t="str">
        <f t="shared" si="87"/>
        <v/>
      </c>
      <c r="CM58" s="78" t="str">
        <f t="shared" si="87"/>
        <v/>
      </c>
      <c r="CN58" s="78" t="str">
        <f t="shared" si="87"/>
        <v/>
      </c>
      <c r="CO58" s="74" t="str">
        <f t="shared" si="87"/>
        <v/>
      </c>
      <c r="CP58" s="74" t="str">
        <f t="shared" si="87"/>
        <v/>
      </c>
      <c r="CQ58" s="74" t="str">
        <f t="shared" si="88"/>
        <v/>
      </c>
      <c r="CR58" s="74" t="str">
        <f t="shared" si="88"/>
        <v/>
      </c>
      <c r="CS58" s="74" t="str">
        <f t="shared" si="88"/>
        <v/>
      </c>
      <c r="CT58" s="78" t="str">
        <f t="shared" si="88"/>
        <v/>
      </c>
      <c r="CU58" s="78" t="str">
        <f t="shared" si="88"/>
        <v/>
      </c>
      <c r="CV58" s="74" t="str">
        <f t="shared" si="88"/>
        <v/>
      </c>
      <c r="CW58" s="74" t="str">
        <f t="shared" si="88"/>
        <v/>
      </c>
      <c r="CX58" s="74" t="str">
        <f t="shared" si="88"/>
        <v/>
      </c>
      <c r="CY58" s="74" t="str">
        <f t="shared" si="88"/>
        <v/>
      </c>
      <c r="CZ58" s="74" t="str">
        <f t="shared" si="88"/>
        <v/>
      </c>
      <c r="DA58" s="78" t="str">
        <f t="shared" si="89"/>
        <v/>
      </c>
      <c r="DB58" s="78" t="str">
        <f t="shared" si="89"/>
        <v/>
      </c>
      <c r="DC58" s="74" t="str">
        <f t="shared" si="89"/>
        <v/>
      </c>
      <c r="DD58" s="74" t="str">
        <f t="shared" si="89"/>
        <v/>
      </c>
      <c r="DE58" s="74" t="str">
        <f t="shared" si="89"/>
        <v/>
      </c>
      <c r="DF58" s="74" t="str">
        <f t="shared" si="89"/>
        <v/>
      </c>
      <c r="DG58" s="74" t="str">
        <f t="shared" si="89"/>
        <v/>
      </c>
      <c r="DH58" s="78" t="str">
        <f t="shared" si="89"/>
        <v/>
      </c>
      <c r="DI58" s="78" t="str">
        <f t="shared" si="89"/>
        <v/>
      </c>
      <c r="DJ58" s="74" t="str">
        <f t="shared" si="89"/>
        <v/>
      </c>
      <c r="DK58" s="74" t="str">
        <f t="shared" si="90"/>
        <v/>
      </c>
      <c r="DL58" s="74" t="str">
        <f t="shared" si="90"/>
        <v/>
      </c>
      <c r="DM58" s="74" t="str">
        <f t="shared" si="90"/>
        <v/>
      </c>
      <c r="DN58" s="74" t="str">
        <f t="shared" si="90"/>
        <v/>
      </c>
      <c r="DO58" s="78" t="str">
        <f t="shared" si="90"/>
        <v/>
      </c>
      <c r="DP58" s="78" t="str">
        <f t="shared" si="90"/>
        <v/>
      </c>
      <c r="DQ58" s="74" t="str">
        <f t="shared" si="90"/>
        <v/>
      </c>
      <c r="DR58" s="74" t="str">
        <f t="shared" si="90"/>
        <v/>
      </c>
      <c r="DS58" s="75">
        <f t="shared" si="90"/>
        <v>192</v>
      </c>
      <c r="DT58" s="75">
        <f t="shared" si="90"/>
        <v>192</v>
      </c>
      <c r="DU58" s="75">
        <f t="shared" si="91"/>
        <v>192</v>
      </c>
      <c r="DV58" s="75">
        <f t="shared" si="91"/>
        <v>192</v>
      </c>
      <c r="DW58" s="75">
        <f t="shared" si="91"/>
        <v>192</v>
      </c>
      <c r="DX58" s="75">
        <f t="shared" si="91"/>
        <v>192</v>
      </c>
      <c r="DY58" s="75">
        <f t="shared" si="91"/>
        <v>192</v>
      </c>
      <c r="DZ58" s="75">
        <f t="shared" si="91"/>
        <v>192</v>
      </c>
      <c r="EA58" s="75">
        <f t="shared" si="91"/>
        <v>192</v>
      </c>
      <c r="EB58" s="75">
        <f t="shared" si="91"/>
        <v>192</v>
      </c>
      <c r="EC58" s="75">
        <f t="shared" si="91"/>
        <v>192</v>
      </c>
      <c r="ED58" s="75">
        <f t="shared" si="91"/>
        <v>192</v>
      </c>
      <c r="EE58" s="75">
        <f t="shared" si="92"/>
        <v>192</v>
      </c>
      <c r="EF58" s="75">
        <f t="shared" si="92"/>
        <v>192</v>
      </c>
      <c r="EG58" s="75">
        <f t="shared" si="92"/>
        <v>192</v>
      </c>
      <c r="EH58" s="76">
        <f t="shared" si="92"/>
        <v>192</v>
      </c>
      <c r="EI58" s="76">
        <f t="shared" si="92"/>
        <v>192</v>
      </c>
      <c r="EJ58" s="76">
        <f t="shared" si="92"/>
        <v>192</v>
      </c>
      <c r="EK58" s="76">
        <f t="shared" si="92"/>
        <v>192</v>
      </c>
      <c r="EL58" s="76">
        <f t="shared" si="92"/>
        <v>192</v>
      </c>
      <c r="EM58" s="77">
        <f t="shared" si="92"/>
        <v>192</v>
      </c>
      <c r="EN58" s="77">
        <f t="shared" si="92"/>
        <v>192</v>
      </c>
      <c r="EO58" s="77">
        <f t="shared" si="93"/>
        <v>192</v>
      </c>
      <c r="EP58" s="74" t="str">
        <f t="shared" si="93"/>
        <v/>
      </c>
      <c r="EQ58" s="78" t="str">
        <f t="shared" si="93"/>
        <v/>
      </c>
      <c r="ER58" s="78" t="str">
        <f t="shared" si="93"/>
        <v/>
      </c>
      <c r="ES58" s="74" t="str">
        <f t="shared" si="93"/>
        <v/>
      </c>
      <c r="ET58" s="74" t="str">
        <f t="shared" si="93"/>
        <v/>
      </c>
      <c r="EU58" s="74" t="str">
        <f t="shared" si="93"/>
        <v/>
      </c>
      <c r="EV58" s="74" t="str">
        <f t="shared" si="93"/>
        <v/>
      </c>
      <c r="EW58" s="74" t="str">
        <f t="shared" si="93"/>
        <v/>
      </c>
      <c r="EX58" s="78" t="str">
        <f t="shared" si="93"/>
        <v/>
      </c>
      <c r="EY58" s="78" t="str">
        <f t="shared" si="94"/>
        <v/>
      </c>
      <c r="EZ58" s="74" t="str">
        <f t="shared" si="94"/>
        <v/>
      </c>
      <c r="FA58" s="74" t="str">
        <f t="shared" si="94"/>
        <v/>
      </c>
      <c r="FB58" s="74" t="str">
        <f t="shared" si="94"/>
        <v/>
      </c>
      <c r="FC58" s="74" t="str">
        <f t="shared" si="94"/>
        <v/>
      </c>
      <c r="FD58" s="74" t="str">
        <f t="shared" si="94"/>
        <v/>
      </c>
      <c r="FE58" s="78" t="str">
        <f t="shared" si="94"/>
        <v/>
      </c>
      <c r="FF58" s="78" t="str">
        <f t="shared" si="94"/>
        <v/>
      </c>
      <c r="FG58" s="74" t="str">
        <f t="shared" si="94"/>
        <v/>
      </c>
      <c r="FH58" s="74" t="str">
        <f t="shared" si="94"/>
        <v/>
      </c>
      <c r="FI58" s="74" t="str">
        <f t="shared" si="95"/>
        <v/>
      </c>
      <c r="FJ58" s="74" t="str">
        <f t="shared" si="95"/>
        <v/>
      </c>
      <c r="FK58" s="74" t="str">
        <f t="shared" si="95"/>
        <v/>
      </c>
      <c r="FL58" s="78" t="str">
        <f t="shared" si="95"/>
        <v/>
      </c>
      <c r="FM58" s="78" t="str">
        <f t="shared" si="95"/>
        <v/>
      </c>
      <c r="FN58" s="74" t="str">
        <f t="shared" si="95"/>
        <v/>
      </c>
      <c r="FO58" s="74" t="str">
        <f t="shared" si="95"/>
        <v/>
      </c>
      <c r="FP58" s="74" t="str">
        <f t="shared" si="95"/>
        <v/>
      </c>
      <c r="FQ58" s="74" t="str">
        <f t="shared" si="95"/>
        <v/>
      </c>
      <c r="FR58" s="74" t="str">
        <f t="shared" si="95"/>
        <v/>
      </c>
      <c r="FS58" s="78" t="str">
        <f t="shared" si="96"/>
        <v/>
      </c>
      <c r="FT58" s="78" t="str">
        <f t="shared" si="96"/>
        <v/>
      </c>
      <c r="FU58" s="74" t="str">
        <f t="shared" si="96"/>
        <v/>
      </c>
      <c r="FV58" s="74" t="str">
        <f t="shared" si="96"/>
        <v/>
      </c>
      <c r="FW58" s="74" t="str">
        <f t="shared" si="96"/>
        <v/>
      </c>
      <c r="FX58" s="74" t="str">
        <f t="shared" si="96"/>
        <v/>
      </c>
      <c r="FY58" s="74" t="str">
        <f t="shared" si="96"/>
        <v/>
      </c>
      <c r="FZ58" s="78" t="str">
        <f t="shared" si="96"/>
        <v/>
      </c>
      <c r="GA58" s="78" t="str">
        <f t="shared" si="96"/>
        <v/>
      </c>
      <c r="GB58" s="74" t="str">
        <f t="shared" si="96"/>
        <v/>
      </c>
      <c r="GC58" s="74" t="str">
        <f t="shared" si="97"/>
        <v/>
      </c>
      <c r="GD58" s="74" t="str">
        <f t="shared" si="97"/>
        <v/>
      </c>
      <c r="GE58" s="74" t="str">
        <f t="shared" si="97"/>
        <v/>
      </c>
      <c r="GF58" s="74" t="str">
        <f t="shared" si="97"/>
        <v/>
      </c>
      <c r="GG58" s="78" t="str">
        <f t="shared" si="97"/>
        <v/>
      </c>
      <c r="GH58" s="78" t="str">
        <f t="shared" si="97"/>
        <v/>
      </c>
      <c r="GI58" s="74" t="str">
        <f t="shared" si="97"/>
        <v/>
      </c>
      <c r="GJ58" s="74" t="str">
        <f t="shared" si="97"/>
        <v/>
      </c>
      <c r="GK58" s="74" t="str">
        <f t="shared" si="97"/>
        <v/>
      </c>
      <c r="GL58" s="74" t="str">
        <f t="shared" si="97"/>
        <v/>
      </c>
      <c r="GM58" s="74" t="str">
        <f t="shared" si="98"/>
        <v/>
      </c>
      <c r="GN58" s="78" t="str">
        <f t="shared" si="98"/>
        <v/>
      </c>
      <c r="GO58" s="78" t="str">
        <f t="shared" si="98"/>
        <v/>
      </c>
      <c r="GP58" s="74" t="str">
        <f t="shared" si="98"/>
        <v/>
      </c>
      <c r="GQ58" s="74" t="str">
        <f t="shared" si="98"/>
        <v/>
      </c>
      <c r="GR58" s="74" t="str">
        <f t="shared" si="98"/>
        <v/>
      </c>
      <c r="GS58" s="74" t="str">
        <f t="shared" si="98"/>
        <v/>
      </c>
      <c r="GT58" s="74" t="str">
        <f t="shared" si="98"/>
        <v/>
      </c>
      <c r="GU58" s="78" t="str">
        <f t="shared" si="98"/>
        <v/>
      </c>
      <c r="GV58" s="78" t="str">
        <f t="shared" si="98"/>
        <v/>
      </c>
      <c r="GW58" s="74" t="str">
        <f t="shared" si="99"/>
        <v/>
      </c>
      <c r="GX58" s="74" t="str">
        <f t="shared" si="99"/>
        <v/>
      </c>
      <c r="GY58" s="74" t="str">
        <f t="shared" si="99"/>
        <v/>
      </c>
      <c r="GZ58" s="74" t="str">
        <f t="shared" si="99"/>
        <v/>
      </c>
      <c r="HA58" s="74" t="str">
        <f t="shared" si="99"/>
        <v/>
      </c>
      <c r="HB58" s="78" t="str">
        <f t="shared" si="99"/>
        <v/>
      </c>
      <c r="HC58" s="78" t="str">
        <f t="shared" si="99"/>
        <v/>
      </c>
      <c r="HD58" s="74" t="str">
        <f t="shared" si="99"/>
        <v/>
      </c>
      <c r="HE58" s="74" t="str">
        <f t="shared" si="99"/>
        <v/>
      </c>
      <c r="HF58" s="74" t="str">
        <f t="shared" si="99"/>
        <v/>
      </c>
      <c r="HG58" s="74" t="str">
        <f t="shared" si="99"/>
        <v/>
      </c>
      <c r="HH58" s="74" t="str">
        <f t="shared" si="99"/>
        <v/>
      </c>
    </row>
    <row r="59" spans="1:216" x14ac:dyDescent="0.2">
      <c r="A59" s="82" t="str">
        <f>'FY1 Event Pipeline'!A14</f>
        <v>DAZ</v>
      </c>
      <c r="B59" s="83">
        <f>_xlfn.XLOOKUP(A59,'FY1 Event Pipeline'!$A$4:$A$15,'FY1 Event Pipeline'!$H$4:$H$15)</f>
        <v>46466</v>
      </c>
      <c r="C59" s="83">
        <f>_xlfn.XLOOKUP(A59,'FY1 Event Pipeline'!$A$4:$A$15,'FY1 Event Pipeline'!$J$4:$J$15)</f>
        <v>46496</v>
      </c>
      <c r="D59" s="84">
        <f>_xlfn.XLOOKUP(A59,'FY1 Event Pipeline'!$A$4:$A$15,'FY1 Event Pipeline'!$Q$4:$Q$15)</f>
        <v>225</v>
      </c>
      <c r="E59" s="74" t="str">
        <f t="shared" si="79"/>
        <v/>
      </c>
      <c r="F59" s="74" t="str">
        <f t="shared" si="79"/>
        <v/>
      </c>
      <c r="G59" s="78" t="str">
        <f t="shared" si="79"/>
        <v/>
      </c>
      <c r="H59" s="78" t="str">
        <f t="shared" si="79"/>
        <v/>
      </c>
      <c r="I59" s="74" t="str">
        <f t="shared" si="79"/>
        <v/>
      </c>
      <c r="J59" s="74" t="str">
        <f t="shared" si="79"/>
        <v/>
      </c>
      <c r="K59" s="74" t="str">
        <f t="shared" si="79"/>
        <v/>
      </c>
      <c r="L59" s="74" t="str">
        <f t="shared" si="79"/>
        <v/>
      </c>
      <c r="M59" s="74" t="str">
        <f t="shared" si="79"/>
        <v/>
      </c>
      <c r="N59" s="78" t="str">
        <f t="shared" si="79"/>
        <v/>
      </c>
      <c r="O59" s="78" t="str">
        <f t="shared" si="80"/>
        <v/>
      </c>
      <c r="P59" s="74" t="str">
        <f t="shared" si="80"/>
        <v/>
      </c>
      <c r="Q59" s="74" t="str">
        <f t="shared" si="80"/>
        <v/>
      </c>
      <c r="R59" s="74" t="str">
        <f t="shared" si="80"/>
        <v/>
      </c>
      <c r="S59" s="74" t="str">
        <f t="shared" si="80"/>
        <v/>
      </c>
      <c r="T59" s="74" t="str">
        <f t="shared" si="80"/>
        <v/>
      </c>
      <c r="U59" s="78" t="str">
        <f t="shared" si="80"/>
        <v/>
      </c>
      <c r="V59" s="78" t="str">
        <f t="shared" si="80"/>
        <v/>
      </c>
      <c r="W59" s="74" t="str">
        <f t="shared" si="80"/>
        <v/>
      </c>
      <c r="X59" s="74" t="str">
        <f t="shared" si="80"/>
        <v/>
      </c>
      <c r="Y59" s="74" t="str">
        <f t="shared" si="81"/>
        <v/>
      </c>
      <c r="Z59" s="74" t="str">
        <f t="shared" si="81"/>
        <v/>
      </c>
      <c r="AA59" s="74" t="str">
        <f t="shared" si="81"/>
        <v/>
      </c>
      <c r="AB59" s="78" t="str">
        <f t="shared" si="81"/>
        <v/>
      </c>
      <c r="AC59" s="78" t="str">
        <f t="shared" si="81"/>
        <v/>
      </c>
      <c r="AD59" s="74" t="str">
        <f t="shared" si="81"/>
        <v/>
      </c>
      <c r="AE59" s="74" t="str">
        <f t="shared" si="81"/>
        <v/>
      </c>
      <c r="AF59" s="74" t="str">
        <f t="shared" si="81"/>
        <v/>
      </c>
      <c r="AG59" s="74" t="str">
        <f t="shared" si="81"/>
        <v/>
      </c>
      <c r="AH59" s="74" t="str">
        <f t="shared" si="81"/>
        <v/>
      </c>
      <c r="AI59" s="78" t="str">
        <f t="shared" si="82"/>
        <v/>
      </c>
      <c r="AJ59" s="78" t="str">
        <f t="shared" si="82"/>
        <v/>
      </c>
      <c r="AK59" s="74" t="str">
        <f t="shared" si="82"/>
        <v/>
      </c>
      <c r="AL59" s="74" t="str">
        <f t="shared" si="82"/>
        <v/>
      </c>
      <c r="AM59" s="74" t="str">
        <f t="shared" si="82"/>
        <v/>
      </c>
      <c r="AN59" s="74" t="str">
        <f t="shared" si="82"/>
        <v/>
      </c>
      <c r="AO59" s="74" t="str">
        <f t="shared" si="82"/>
        <v/>
      </c>
      <c r="AP59" s="78" t="str">
        <f t="shared" si="82"/>
        <v/>
      </c>
      <c r="AQ59" s="78" t="str">
        <f t="shared" si="82"/>
        <v/>
      </c>
      <c r="AR59" s="74" t="str">
        <f t="shared" si="82"/>
        <v/>
      </c>
      <c r="AS59" s="74" t="str">
        <f t="shared" si="83"/>
        <v/>
      </c>
      <c r="AT59" s="74" t="str">
        <f t="shared" si="83"/>
        <v/>
      </c>
      <c r="AU59" s="74" t="str">
        <f t="shared" si="83"/>
        <v/>
      </c>
      <c r="AV59" s="74" t="str">
        <f t="shared" si="83"/>
        <v/>
      </c>
      <c r="AW59" s="78" t="str">
        <f t="shared" si="83"/>
        <v/>
      </c>
      <c r="AX59" s="78" t="str">
        <f t="shared" si="83"/>
        <v/>
      </c>
      <c r="AY59" s="74" t="str">
        <f t="shared" si="83"/>
        <v/>
      </c>
      <c r="AZ59" s="74" t="str">
        <f t="shared" si="83"/>
        <v/>
      </c>
      <c r="BA59" s="74" t="str">
        <f t="shared" si="83"/>
        <v/>
      </c>
      <c r="BB59" s="74" t="str">
        <f t="shared" si="83"/>
        <v/>
      </c>
      <c r="BC59" s="74" t="str">
        <f t="shared" si="84"/>
        <v/>
      </c>
      <c r="BD59" s="78" t="str">
        <f t="shared" si="84"/>
        <v/>
      </c>
      <c r="BE59" s="78" t="str">
        <f t="shared" si="84"/>
        <v/>
      </c>
      <c r="BF59" s="74" t="str">
        <f t="shared" si="84"/>
        <v/>
      </c>
      <c r="BG59" s="74" t="str">
        <f t="shared" si="84"/>
        <v/>
      </c>
      <c r="BH59" s="74" t="str">
        <f t="shared" si="84"/>
        <v/>
      </c>
      <c r="BI59" s="74" t="str">
        <f t="shared" si="84"/>
        <v/>
      </c>
      <c r="BJ59" s="74" t="str">
        <f t="shared" si="84"/>
        <v/>
      </c>
      <c r="BK59" s="78" t="str">
        <f t="shared" si="84"/>
        <v/>
      </c>
      <c r="BL59" s="78" t="str">
        <f t="shared" si="84"/>
        <v/>
      </c>
      <c r="BM59" s="74" t="str">
        <f t="shared" si="85"/>
        <v/>
      </c>
      <c r="BN59" s="74" t="str">
        <f t="shared" si="85"/>
        <v/>
      </c>
      <c r="BO59" s="74" t="str">
        <f t="shared" si="85"/>
        <v/>
      </c>
      <c r="BP59" s="74" t="str">
        <f t="shared" si="85"/>
        <v/>
      </c>
      <c r="BQ59" s="74" t="str">
        <f t="shared" si="85"/>
        <v/>
      </c>
      <c r="BR59" s="78" t="str">
        <f t="shared" si="85"/>
        <v/>
      </c>
      <c r="BS59" s="78" t="str">
        <f t="shared" si="85"/>
        <v/>
      </c>
      <c r="BT59" s="74" t="str">
        <f t="shared" si="85"/>
        <v/>
      </c>
      <c r="BU59" s="74" t="str">
        <f t="shared" si="85"/>
        <v/>
      </c>
      <c r="BV59" s="74" t="str">
        <f t="shared" si="85"/>
        <v/>
      </c>
      <c r="BW59" s="74" t="str">
        <f t="shared" si="86"/>
        <v/>
      </c>
      <c r="BX59" s="74" t="str">
        <f t="shared" si="86"/>
        <v/>
      </c>
      <c r="BY59" s="78" t="str">
        <f t="shared" si="86"/>
        <v/>
      </c>
      <c r="BZ59" s="78" t="str">
        <f t="shared" si="86"/>
        <v/>
      </c>
      <c r="CA59" s="74" t="str">
        <f t="shared" si="86"/>
        <v/>
      </c>
      <c r="CB59" s="74" t="str">
        <f t="shared" si="86"/>
        <v/>
      </c>
      <c r="CC59" s="74" t="str">
        <f t="shared" si="86"/>
        <v/>
      </c>
      <c r="CD59" s="74" t="str">
        <f t="shared" si="86"/>
        <v/>
      </c>
      <c r="CE59" s="74" t="str">
        <f t="shared" si="86"/>
        <v/>
      </c>
      <c r="CF59" s="78" t="str">
        <f t="shared" si="86"/>
        <v/>
      </c>
      <c r="CG59" s="78" t="str">
        <f t="shared" si="87"/>
        <v/>
      </c>
      <c r="CH59" s="74" t="str">
        <f t="shared" si="87"/>
        <v/>
      </c>
      <c r="CI59" s="74" t="str">
        <f t="shared" si="87"/>
        <v/>
      </c>
      <c r="CJ59" s="74" t="str">
        <f t="shared" si="87"/>
        <v/>
      </c>
      <c r="CK59" s="74" t="str">
        <f t="shared" si="87"/>
        <v/>
      </c>
      <c r="CL59" s="74" t="str">
        <f t="shared" si="87"/>
        <v/>
      </c>
      <c r="CM59" s="78" t="str">
        <f t="shared" si="87"/>
        <v/>
      </c>
      <c r="CN59" s="78" t="str">
        <f t="shared" si="87"/>
        <v/>
      </c>
      <c r="CO59" s="74" t="str">
        <f t="shared" si="87"/>
        <v/>
      </c>
      <c r="CP59" s="74" t="str">
        <f t="shared" si="87"/>
        <v/>
      </c>
      <c r="CQ59" s="74" t="str">
        <f t="shared" si="88"/>
        <v/>
      </c>
      <c r="CR59" s="74" t="str">
        <f t="shared" si="88"/>
        <v/>
      </c>
      <c r="CS59" s="74" t="str">
        <f t="shared" si="88"/>
        <v/>
      </c>
      <c r="CT59" s="78" t="str">
        <f t="shared" si="88"/>
        <v/>
      </c>
      <c r="CU59" s="78" t="str">
        <f t="shared" si="88"/>
        <v/>
      </c>
      <c r="CV59" s="74" t="str">
        <f t="shared" si="88"/>
        <v/>
      </c>
      <c r="CW59" s="74" t="str">
        <f t="shared" si="88"/>
        <v/>
      </c>
      <c r="CX59" s="74" t="str">
        <f t="shared" si="88"/>
        <v/>
      </c>
      <c r="CY59" s="74" t="str">
        <f t="shared" si="88"/>
        <v/>
      </c>
      <c r="CZ59" s="74" t="str">
        <f t="shared" si="88"/>
        <v/>
      </c>
      <c r="DA59" s="78" t="str">
        <f t="shared" si="89"/>
        <v/>
      </c>
      <c r="DB59" s="78" t="str">
        <f t="shared" si="89"/>
        <v/>
      </c>
      <c r="DC59" s="74" t="str">
        <f t="shared" si="89"/>
        <v/>
      </c>
      <c r="DD59" s="74" t="str">
        <f t="shared" si="89"/>
        <v/>
      </c>
      <c r="DE59" s="74" t="str">
        <f t="shared" si="89"/>
        <v/>
      </c>
      <c r="DF59" s="74" t="str">
        <f t="shared" si="89"/>
        <v/>
      </c>
      <c r="DG59" s="74" t="str">
        <f t="shared" si="89"/>
        <v/>
      </c>
      <c r="DH59" s="78" t="str">
        <f t="shared" si="89"/>
        <v/>
      </c>
      <c r="DI59" s="78" t="str">
        <f t="shared" si="89"/>
        <v/>
      </c>
      <c r="DJ59" s="74" t="str">
        <f t="shared" si="89"/>
        <v/>
      </c>
      <c r="DK59" s="74" t="str">
        <f t="shared" si="90"/>
        <v/>
      </c>
      <c r="DL59" s="74" t="str">
        <f t="shared" si="90"/>
        <v/>
      </c>
      <c r="DM59" s="74" t="str">
        <f t="shared" si="90"/>
        <v/>
      </c>
      <c r="DN59" s="74" t="str">
        <f t="shared" si="90"/>
        <v/>
      </c>
      <c r="DO59" s="78" t="str">
        <f t="shared" si="90"/>
        <v/>
      </c>
      <c r="DP59" s="78" t="str">
        <f t="shared" si="90"/>
        <v/>
      </c>
      <c r="DQ59" s="74" t="str">
        <f t="shared" si="90"/>
        <v/>
      </c>
      <c r="DR59" s="74" t="str">
        <f t="shared" si="90"/>
        <v/>
      </c>
      <c r="DS59" s="74" t="str">
        <f t="shared" si="90"/>
        <v/>
      </c>
      <c r="DT59" s="74" t="str">
        <f t="shared" si="90"/>
        <v/>
      </c>
      <c r="DU59" s="74" t="str">
        <f t="shared" si="91"/>
        <v/>
      </c>
      <c r="DV59" s="78" t="str">
        <f t="shared" si="91"/>
        <v/>
      </c>
      <c r="DW59" s="78" t="str">
        <f t="shared" si="91"/>
        <v/>
      </c>
      <c r="DX59" s="74" t="str">
        <f t="shared" si="91"/>
        <v/>
      </c>
      <c r="DY59" s="74" t="str">
        <f t="shared" si="91"/>
        <v/>
      </c>
      <c r="DZ59" s="74" t="str">
        <f t="shared" si="91"/>
        <v/>
      </c>
      <c r="EA59" s="74" t="str">
        <f t="shared" si="91"/>
        <v/>
      </c>
      <c r="EB59" s="74" t="str">
        <f t="shared" si="91"/>
        <v/>
      </c>
      <c r="EC59" s="78" t="str">
        <f t="shared" si="91"/>
        <v/>
      </c>
      <c r="ED59" s="78" t="str">
        <f t="shared" si="91"/>
        <v/>
      </c>
      <c r="EE59" s="74" t="str">
        <f t="shared" si="92"/>
        <v/>
      </c>
      <c r="EF59" s="74" t="str">
        <f t="shared" si="92"/>
        <v/>
      </c>
      <c r="EG59" s="74" t="str">
        <f t="shared" si="92"/>
        <v/>
      </c>
      <c r="EH59" s="74" t="str">
        <f t="shared" si="92"/>
        <v/>
      </c>
      <c r="EI59" s="74" t="str">
        <f t="shared" si="92"/>
        <v/>
      </c>
      <c r="EJ59" s="78" t="str">
        <f t="shared" si="92"/>
        <v/>
      </c>
      <c r="EK59" s="78" t="str">
        <f t="shared" si="92"/>
        <v/>
      </c>
      <c r="EL59" s="74" t="str">
        <f t="shared" si="92"/>
        <v/>
      </c>
      <c r="EM59" s="74" t="str">
        <f t="shared" si="92"/>
        <v/>
      </c>
      <c r="EN59" s="74" t="str">
        <f t="shared" si="92"/>
        <v/>
      </c>
      <c r="EO59" s="74" t="str">
        <f t="shared" si="93"/>
        <v/>
      </c>
      <c r="EP59" s="74" t="str">
        <f t="shared" si="93"/>
        <v/>
      </c>
      <c r="EQ59" s="78" t="str">
        <f t="shared" si="93"/>
        <v/>
      </c>
      <c r="ER59" s="78" t="str">
        <f t="shared" si="93"/>
        <v/>
      </c>
      <c r="ES59" s="74" t="str">
        <f t="shared" si="93"/>
        <v/>
      </c>
      <c r="ET59" s="74" t="str">
        <f t="shared" si="93"/>
        <v/>
      </c>
      <c r="EU59" s="74" t="str">
        <f t="shared" si="93"/>
        <v/>
      </c>
      <c r="EV59" s="74" t="str">
        <f t="shared" si="93"/>
        <v/>
      </c>
      <c r="EW59" s="74" t="str">
        <f t="shared" si="93"/>
        <v/>
      </c>
      <c r="EX59" s="78" t="str">
        <f t="shared" si="93"/>
        <v/>
      </c>
      <c r="EY59" s="78" t="str">
        <f t="shared" si="94"/>
        <v/>
      </c>
      <c r="EZ59" s="74" t="str">
        <f t="shared" si="94"/>
        <v/>
      </c>
      <c r="FA59" s="74" t="str">
        <f t="shared" si="94"/>
        <v/>
      </c>
      <c r="FB59" s="74" t="str">
        <f t="shared" si="94"/>
        <v/>
      </c>
      <c r="FC59" s="74" t="str">
        <f t="shared" si="94"/>
        <v/>
      </c>
      <c r="FD59" s="74" t="str">
        <f t="shared" si="94"/>
        <v/>
      </c>
      <c r="FE59" s="78" t="str">
        <f t="shared" si="94"/>
        <v/>
      </c>
      <c r="FF59" s="78" t="str">
        <f t="shared" si="94"/>
        <v/>
      </c>
      <c r="FG59" s="74" t="str">
        <f t="shared" si="94"/>
        <v/>
      </c>
      <c r="FH59" s="74" t="str">
        <f t="shared" si="94"/>
        <v/>
      </c>
      <c r="FI59" s="74" t="str">
        <f t="shared" si="95"/>
        <v/>
      </c>
      <c r="FJ59" s="74" t="str">
        <f t="shared" si="95"/>
        <v/>
      </c>
      <c r="FK59" s="74" t="str">
        <f t="shared" si="95"/>
        <v/>
      </c>
      <c r="FL59" s="78" t="str">
        <f t="shared" si="95"/>
        <v/>
      </c>
      <c r="FM59" s="78" t="str">
        <f t="shared" si="95"/>
        <v/>
      </c>
      <c r="FN59" s="74" t="str">
        <f t="shared" si="95"/>
        <v/>
      </c>
      <c r="FO59" s="74" t="str">
        <f t="shared" si="95"/>
        <v/>
      </c>
      <c r="FP59" s="74" t="str">
        <f t="shared" si="95"/>
        <v/>
      </c>
      <c r="FQ59" s="74" t="str">
        <f t="shared" si="95"/>
        <v/>
      </c>
      <c r="FR59" s="74" t="str">
        <f t="shared" si="95"/>
        <v/>
      </c>
      <c r="FS59" s="75">
        <f t="shared" si="96"/>
        <v>225</v>
      </c>
      <c r="FT59" s="75">
        <f t="shared" si="96"/>
        <v>225</v>
      </c>
      <c r="FU59" s="75">
        <f t="shared" si="96"/>
        <v>225</v>
      </c>
      <c r="FV59" s="75">
        <f t="shared" si="96"/>
        <v>225</v>
      </c>
      <c r="FW59" s="75">
        <f t="shared" si="96"/>
        <v>225</v>
      </c>
      <c r="FX59" s="75">
        <f t="shared" si="96"/>
        <v>225</v>
      </c>
      <c r="FY59" s="75">
        <f t="shared" si="96"/>
        <v>225</v>
      </c>
      <c r="FZ59" s="75">
        <f t="shared" si="96"/>
        <v>225</v>
      </c>
      <c r="GA59" s="75">
        <f t="shared" si="96"/>
        <v>225</v>
      </c>
      <c r="GB59" s="75">
        <f t="shared" si="96"/>
        <v>225</v>
      </c>
      <c r="GC59" s="75">
        <f t="shared" si="97"/>
        <v>225</v>
      </c>
      <c r="GD59" s="75">
        <f t="shared" si="97"/>
        <v>225</v>
      </c>
      <c r="GE59" s="75">
        <f t="shared" si="97"/>
        <v>225</v>
      </c>
      <c r="GF59" s="75">
        <f t="shared" si="97"/>
        <v>225</v>
      </c>
      <c r="GG59" s="76">
        <f t="shared" si="97"/>
        <v>225</v>
      </c>
      <c r="GH59" s="76">
        <f t="shared" si="97"/>
        <v>225</v>
      </c>
      <c r="GI59" s="76">
        <f t="shared" si="97"/>
        <v>225</v>
      </c>
      <c r="GJ59" s="76">
        <f t="shared" si="97"/>
        <v>225</v>
      </c>
      <c r="GK59" s="76">
        <f t="shared" si="97"/>
        <v>225</v>
      </c>
      <c r="GL59" s="76">
        <f t="shared" si="97"/>
        <v>225</v>
      </c>
      <c r="GM59" s="76">
        <f t="shared" si="98"/>
        <v>225</v>
      </c>
      <c r="GN59" s="76">
        <f t="shared" si="98"/>
        <v>225</v>
      </c>
      <c r="GO59" s="76">
        <f t="shared" si="98"/>
        <v>225</v>
      </c>
      <c r="GP59" s="76">
        <f t="shared" si="98"/>
        <v>225</v>
      </c>
      <c r="GQ59" s="77">
        <f t="shared" si="98"/>
        <v>225</v>
      </c>
      <c r="GR59" s="77">
        <f t="shared" si="98"/>
        <v>225</v>
      </c>
      <c r="GS59" s="77">
        <f t="shared" si="98"/>
        <v>225</v>
      </c>
      <c r="GT59" s="77">
        <f t="shared" si="98"/>
        <v>225</v>
      </c>
      <c r="GU59" s="77">
        <f t="shared" si="98"/>
        <v>225</v>
      </c>
      <c r="GV59" s="77">
        <f t="shared" si="98"/>
        <v>225</v>
      </c>
      <c r="GW59" s="77">
        <f t="shared" si="99"/>
        <v>225</v>
      </c>
      <c r="GX59" s="74" t="str">
        <f t="shared" si="99"/>
        <v/>
      </c>
      <c r="GY59" s="74" t="str">
        <f t="shared" si="99"/>
        <v/>
      </c>
      <c r="GZ59" s="74" t="str">
        <f t="shared" si="99"/>
        <v/>
      </c>
      <c r="HA59" s="74" t="str">
        <f t="shared" si="99"/>
        <v/>
      </c>
      <c r="HB59" s="78" t="str">
        <f t="shared" si="99"/>
        <v/>
      </c>
      <c r="HC59" s="78" t="str">
        <f t="shared" si="99"/>
        <v/>
      </c>
      <c r="HD59" s="74" t="str">
        <f t="shared" si="99"/>
        <v/>
      </c>
      <c r="HE59" s="74" t="str">
        <f t="shared" si="99"/>
        <v/>
      </c>
      <c r="HF59" s="74" t="str">
        <f t="shared" si="99"/>
        <v/>
      </c>
      <c r="HG59" s="74" t="str">
        <f t="shared" si="99"/>
        <v/>
      </c>
      <c r="HH59" s="74" t="str">
        <f t="shared" si="99"/>
        <v/>
      </c>
    </row>
    <row r="60" spans="1:216" x14ac:dyDescent="0.2">
      <c r="A60" s="82" t="str">
        <f>'FY1 Event Pipeline'!A15</f>
        <v>BRED</v>
      </c>
      <c r="B60" s="83">
        <f>_xlfn.XLOOKUP(A60,'FY1 Event Pipeline'!$A$4:$A$15,'FY1 Event Pipeline'!$H$4:$H$15)</f>
        <v>46492</v>
      </c>
      <c r="C60" s="83">
        <f>_xlfn.XLOOKUP(A60,'FY1 Event Pipeline'!$A$4:$A$15,'FY1 Event Pipeline'!$J$4:$J$15)</f>
        <v>46506</v>
      </c>
      <c r="D60" s="84">
        <f>_xlfn.XLOOKUP(A60,'FY1 Event Pipeline'!$A$4:$A$15,'FY1 Event Pipeline'!$Q$4:$Q$15)</f>
        <v>500</v>
      </c>
      <c r="E60" s="74" t="str">
        <f t="shared" si="79"/>
        <v/>
      </c>
      <c r="F60" s="74" t="str">
        <f t="shared" si="79"/>
        <v/>
      </c>
      <c r="G60" s="78" t="str">
        <f t="shared" si="79"/>
        <v/>
      </c>
      <c r="H60" s="78" t="str">
        <f t="shared" si="79"/>
        <v/>
      </c>
      <c r="I60" s="74" t="str">
        <f t="shared" si="79"/>
        <v/>
      </c>
      <c r="J60" s="74" t="str">
        <f t="shared" si="79"/>
        <v/>
      </c>
      <c r="K60" s="74" t="str">
        <f t="shared" si="79"/>
        <v/>
      </c>
      <c r="L60" s="74" t="str">
        <f t="shared" si="79"/>
        <v/>
      </c>
      <c r="M60" s="74" t="str">
        <f t="shared" si="79"/>
        <v/>
      </c>
      <c r="N60" s="78" t="str">
        <f t="shared" si="79"/>
        <v/>
      </c>
      <c r="O60" s="78" t="str">
        <f t="shared" si="80"/>
        <v/>
      </c>
      <c r="P60" s="74" t="str">
        <f t="shared" si="80"/>
        <v/>
      </c>
      <c r="Q60" s="74" t="str">
        <f t="shared" si="80"/>
        <v/>
      </c>
      <c r="R60" s="74" t="str">
        <f t="shared" si="80"/>
        <v/>
      </c>
      <c r="S60" s="74" t="str">
        <f t="shared" si="80"/>
        <v/>
      </c>
      <c r="T60" s="74" t="str">
        <f t="shared" si="80"/>
        <v/>
      </c>
      <c r="U60" s="78" t="str">
        <f t="shared" si="80"/>
        <v/>
      </c>
      <c r="V60" s="78" t="str">
        <f t="shared" si="80"/>
        <v/>
      </c>
      <c r="W60" s="74" t="str">
        <f t="shared" si="80"/>
        <v/>
      </c>
      <c r="X60" s="74" t="str">
        <f t="shared" si="80"/>
        <v/>
      </c>
      <c r="Y60" s="74" t="str">
        <f t="shared" si="81"/>
        <v/>
      </c>
      <c r="Z60" s="74" t="str">
        <f t="shared" si="81"/>
        <v/>
      </c>
      <c r="AA60" s="74" t="str">
        <f t="shared" si="81"/>
        <v/>
      </c>
      <c r="AB60" s="78" t="str">
        <f t="shared" si="81"/>
        <v/>
      </c>
      <c r="AC60" s="78" t="str">
        <f t="shared" si="81"/>
        <v/>
      </c>
      <c r="AD60" s="74" t="str">
        <f t="shared" si="81"/>
        <v/>
      </c>
      <c r="AE60" s="74" t="str">
        <f t="shared" si="81"/>
        <v/>
      </c>
      <c r="AF60" s="74" t="str">
        <f t="shared" si="81"/>
        <v/>
      </c>
      <c r="AG60" s="74" t="str">
        <f t="shared" si="81"/>
        <v/>
      </c>
      <c r="AH60" s="74" t="str">
        <f t="shared" si="81"/>
        <v/>
      </c>
      <c r="AI60" s="78" t="str">
        <f t="shared" si="82"/>
        <v/>
      </c>
      <c r="AJ60" s="78" t="str">
        <f t="shared" si="82"/>
        <v/>
      </c>
      <c r="AK60" s="74" t="str">
        <f t="shared" si="82"/>
        <v/>
      </c>
      <c r="AL60" s="74" t="str">
        <f t="shared" si="82"/>
        <v/>
      </c>
      <c r="AM60" s="74" t="str">
        <f t="shared" si="82"/>
        <v/>
      </c>
      <c r="AN60" s="74" t="str">
        <f t="shared" si="82"/>
        <v/>
      </c>
      <c r="AO60" s="74" t="str">
        <f t="shared" si="82"/>
        <v/>
      </c>
      <c r="AP60" s="78" t="str">
        <f t="shared" si="82"/>
        <v/>
      </c>
      <c r="AQ60" s="78" t="str">
        <f t="shared" si="82"/>
        <v/>
      </c>
      <c r="AR60" s="74" t="str">
        <f t="shared" si="82"/>
        <v/>
      </c>
      <c r="AS60" s="74" t="str">
        <f t="shared" si="83"/>
        <v/>
      </c>
      <c r="AT60" s="74" t="str">
        <f t="shared" si="83"/>
        <v/>
      </c>
      <c r="AU60" s="74" t="str">
        <f t="shared" si="83"/>
        <v/>
      </c>
      <c r="AV60" s="74" t="str">
        <f t="shared" si="83"/>
        <v/>
      </c>
      <c r="AW60" s="78" t="str">
        <f t="shared" si="83"/>
        <v/>
      </c>
      <c r="AX60" s="78" t="str">
        <f t="shared" si="83"/>
        <v/>
      </c>
      <c r="AY60" s="74" t="str">
        <f t="shared" si="83"/>
        <v/>
      </c>
      <c r="AZ60" s="74" t="str">
        <f t="shared" si="83"/>
        <v/>
      </c>
      <c r="BA60" s="74" t="str">
        <f t="shared" si="83"/>
        <v/>
      </c>
      <c r="BB60" s="74" t="str">
        <f t="shared" si="83"/>
        <v/>
      </c>
      <c r="BC60" s="74" t="str">
        <f t="shared" si="84"/>
        <v/>
      </c>
      <c r="BD60" s="78" t="str">
        <f t="shared" si="84"/>
        <v/>
      </c>
      <c r="BE60" s="78" t="str">
        <f t="shared" si="84"/>
        <v/>
      </c>
      <c r="BF60" s="74" t="str">
        <f t="shared" si="84"/>
        <v/>
      </c>
      <c r="BG60" s="74" t="str">
        <f t="shared" si="84"/>
        <v/>
      </c>
      <c r="BH60" s="74" t="str">
        <f t="shared" si="84"/>
        <v/>
      </c>
      <c r="BI60" s="74" t="str">
        <f t="shared" si="84"/>
        <v/>
      </c>
      <c r="BJ60" s="74" t="str">
        <f t="shared" si="84"/>
        <v/>
      </c>
      <c r="BK60" s="78" t="str">
        <f t="shared" si="84"/>
        <v/>
      </c>
      <c r="BL60" s="78" t="str">
        <f t="shared" si="84"/>
        <v/>
      </c>
      <c r="BM60" s="74" t="str">
        <f t="shared" si="85"/>
        <v/>
      </c>
      <c r="BN60" s="74" t="str">
        <f t="shared" si="85"/>
        <v/>
      </c>
      <c r="BO60" s="74" t="str">
        <f t="shared" si="85"/>
        <v/>
      </c>
      <c r="BP60" s="74" t="str">
        <f t="shared" si="85"/>
        <v/>
      </c>
      <c r="BQ60" s="74" t="str">
        <f t="shared" si="85"/>
        <v/>
      </c>
      <c r="BR60" s="78" t="str">
        <f t="shared" si="85"/>
        <v/>
      </c>
      <c r="BS60" s="78" t="str">
        <f t="shared" si="85"/>
        <v/>
      </c>
      <c r="BT60" s="74" t="str">
        <f t="shared" si="85"/>
        <v/>
      </c>
      <c r="BU60" s="74" t="str">
        <f t="shared" si="85"/>
        <v/>
      </c>
      <c r="BV60" s="74" t="str">
        <f t="shared" si="85"/>
        <v/>
      </c>
      <c r="BW60" s="74" t="str">
        <f t="shared" si="86"/>
        <v/>
      </c>
      <c r="BX60" s="74" t="str">
        <f t="shared" si="86"/>
        <v/>
      </c>
      <c r="BY60" s="78" t="str">
        <f t="shared" si="86"/>
        <v/>
      </c>
      <c r="BZ60" s="78" t="str">
        <f t="shared" si="86"/>
        <v/>
      </c>
      <c r="CA60" s="74" t="str">
        <f t="shared" si="86"/>
        <v/>
      </c>
      <c r="CB60" s="74" t="str">
        <f t="shared" si="86"/>
        <v/>
      </c>
      <c r="CC60" s="74" t="str">
        <f t="shared" si="86"/>
        <v/>
      </c>
      <c r="CD60" s="74" t="str">
        <f t="shared" si="86"/>
        <v/>
      </c>
      <c r="CE60" s="74" t="str">
        <f t="shared" si="86"/>
        <v/>
      </c>
      <c r="CF60" s="78" t="str">
        <f t="shared" si="86"/>
        <v/>
      </c>
      <c r="CG60" s="78" t="str">
        <f t="shared" si="87"/>
        <v/>
      </c>
      <c r="CH60" s="74" t="str">
        <f t="shared" si="87"/>
        <v/>
      </c>
      <c r="CI60" s="74" t="str">
        <f t="shared" si="87"/>
        <v/>
      </c>
      <c r="CJ60" s="74" t="str">
        <f t="shared" si="87"/>
        <v/>
      </c>
      <c r="CK60" s="74" t="str">
        <f t="shared" si="87"/>
        <v/>
      </c>
      <c r="CL60" s="74" t="str">
        <f t="shared" si="87"/>
        <v/>
      </c>
      <c r="CM60" s="78" t="str">
        <f t="shared" si="87"/>
        <v/>
      </c>
      <c r="CN60" s="78" t="str">
        <f t="shared" si="87"/>
        <v/>
      </c>
      <c r="CO60" s="74" t="str">
        <f t="shared" si="87"/>
        <v/>
      </c>
      <c r="CP60" s="74" t="str">
        <f t="shared" si="87"/>
        <v/>
      </c>
      <c r="CQ60" s="74" t="str">
        <f t="shared" si="88"/>
        <v/>
      </c>
      <c r="CR60" s="74" t="str">
        <f t="shared" si="88"/>
        <v/>
      </c>
      <c r="CS60" s="74" t="str">
        <f t="shared" si="88"/>
        <v/>
      </c>
      <c r="CT60" s="78" t="str">
        <f t="shared" si="88"/>
        <v/>
      </c>
      <c r="CU60" s="78" t="str">
        <f t="shared" si="88"/>
        <v/>
      </c>
      <c r="CV60" s="74" t="str">
        <f t="shared" si="88"/>
        <v/>
      </c>
      <c r="CW60" s="74" t="str">
        <f t="shared" si="88"/>
        <v/>
      </c>
      <c r="CX60" s="74" t="str">
        <f t="shared" si="88"/>
        <v/>
      </c>
      <c r="CY60" s="74" t="str">
        <f t="shared" si="88"/>
        <v/>
      </c>
      <c r="CZ60" s="74" t="str">
        <f t="shared" si="88"/>
        <v/>
      </c>
      <c r="DA60" s="78" t="str">
        <f t="shared" si="89"/>
        <v/>
      </c>
      <c r="DB60" s="78" t="str">
        <f t="shared" si="89"/>
        <v/>
      </c>
      <c r="DC60" s="74" t="str">
        <f t="shared" si="89"/>
        <v/>
      </c>
      <c r="DD60" s="74" t="str">
        <f t="shared" si="89"/>
        <v/>
      </c>
      <c r="DE60" s="74" t="str">
        <f t="shared" si="89"/>
        <v/>
      </c>
      <c r="DF60" s="74" t="str">
        <f t="shared" si="89"/>
        <v/>
      </c>
      <c r="DG60" s="74" t="str">
        <f t="shared" si="89"/>
        <v/>
      </c>
      <c r="DH60" s="78" t="str">
        <f t="shared" si="89"/>
        <v/>
      </c>
      <c r="DI60" s="78" t="str">
        <f t="shared" si="89"/>
        <v/>
      </c>
      <c r="DJ60" s="74" t="str">
        <f t="shared" si="89"/>
        <v/>
      </c>
      <c r="DK60" s="74" t="str">
        <f t="shared" si="90"/>
        <v/>
      </c>
      <c r="DL60" s="74" t="str">
        <f t="shared" si="90"/>
        <v/>
      </c>
      <c r="DM60" s="74" t="str">
        <f t="shared" si="90"/>
        <v/>
      </c>
      <c r="DN60" s="74" t="str">
        <f t="shared" si="90"/>
        <v/>
      </c>
      <c r="DO60" s="78" t="str">
        <f t="shared" si="90"/>
        <v/>
      </c>
      <c r="DP60" s="78" t="str">
        <f t="shared" si="90"/>
        <v/>
      </c>
      <c r="DQ60" s="74" t="str">
        <f t="shared" si="90"/>
        <v/>
      </c>
      <c r="DR60" s="74" t="str">
        <f t="shared" si="90"/>
        <v/>
      </c>
      <c r="DS60" s="74" t="str">
        <f t="shared" si="90"/>
        <v/>
      </c>
      <c r="DT60" s="74" t="str">
        <f t="shared" si="90"/>
        <v/>
      </c>
      <c r="DU60" s="74" t="str">
        <f t="shared" si="91"/>
        <v/>
      </c>
      <c r="DV60" s="78" t="str">
        <f t="shared" si="91"/>
        <v/>
      </c>
      <c r="DW60" s="78" t="str">
        <f t="shared" si="91"/>
        <v/>
      </c>
      <c r="DX60" s="74" t="str">
        <f t="shared" si="91"/>
        <v/>
      </c>
      <c r="DY60" s="74" t="str">
        <f t="shared" si="91"/>
        <v/>
      </c>
      <c r="DZ60" s="74" t="str">
        <f t="shared" si="91"/>
        <v/>
      </c>
      <c r="EA60" s="74" t="str">
        <f t="shared" si="91"/>
        <v/>
      </c>
      <c r="EB60" s="74" t="str">
        <f t="shared" si="91"/>
        <v/>
      </c>
      <c r="EC60" s="78" t="str">
        <f t="shared" si="91"/>
        <v/>
      </c>
      <c r="ED60" s="78" t="str">
        <f t="shared" si="91"/>
        <v/>
      </c>
      <c r="EE60" s="74" t="str">
        <f t="shared" si="92"/>
        <v/>
      </c>
      <c r="EF60" s="74" t="str">
        <f t="shared" si="92"/>
        <v/>
      </c>
      <c r="EG60" s="74" t="str">
        <f t="shared" si="92"/>
        <v/>
      </c>
      <c r="EH60" s="74" t="str">
        <f t="shared" si="92"/>
        <v/>
      </c>
      <c r="EI60" s="74" t="str">
        <f t="shared" si="92"/>
        <v/>
      </c>
      <c r="EJ60" s="78" t="str">
        <f t="shared" si="92"/>
        <v/>
      </c>
      <c r="EK60" s="78" t="str">
        <f t="shared" si="92"/>
        <v/>
      </c>
      <c r="EL60" s="74" t="str">
        <f t="shared" si="92"/>
        <v/>
      </c>
      <c r="EM60" s="74" t="str">
        <f t="shared" si="92"/>
        <v/>
      </c>
      <c r="EN60" s="74" t="str">
        <f t="shared" si="92"/>
        <v/>
      </c>
      <c r="EO60" s="74" t="str">
        <f t="shared" si="93"/>
        <v/>
      </c>
      <c r="EP60" s="74" t="str">
        <f t="shared" si="93"/>
        <v/>
      </c>
      <c r="EQ60" s="78" t="str">
        <f t="shared" si="93"/>
        <v/>
      </c>
      <c r="ER60" s="78" t="str">
        <f t="shared" si="93"/>
        <v/>
      </c>
      <c r="ES60" s="74" t="str">
        <f t="shared" si="93"/>
        <v/>
      </c>
      <c r="ET60" s="74" t="str">
        <f t="shared" si="93"/>
        <v/>
      </c>
      <c r="EU60" s="74" t="str">
        <f t="shared" si="93"/>
        <v/>
      </c>
      <c r="EV60" s="74" t="str">
        <f t="shared" si="93"/>
        <v/>
      </c>
      <c r="EW60" s="74" t="str">
        <f t="shared" si="93"/>
        <v/>
      </c>
      <c r="EX60" s="78" t="str">
        <f t="shared" si="93"/>
        <v/>
      </c>
      <c r="EY60" s="78" t="str">
        <f t="shared" si="94"/>
        <v/>
      </c>
      <c r="EZ60" s="74" t="str">
        <f t="shared" si="94"/>
        <v/>
      </c>
      <c r="FA60" s="74" t="str">
        <f t="shared" si="94"/>
        <v/>
      </c>
      <c r="FB60" s="74" t="str">
        <f t="shared" si="94"/>
        <v/>
      </c>
      <c r="FC60" s="74" t="str">
        <f t="shared" si="94"/>
        <v/>
      </c>
      <c r="FD60" s="74" t="str">
        <f t="shared" si="94"/>
        <v/>
      </c>
      <c r="FE60" s="78" t="str">
        <f t="shared" si="94"/>
        <v/>
      </c>
      <c r="FF60" s="78" t="str">
        <f t="shared" si="94"/>
        <v/>
      </c>
      <c r="FG60" s="74" t="str">
        <f t="shared" si="94"/>
        <v/>
      </c>
      <c r="FH60" s="74" t="str">
        <f t="shared" si="94"/>
        <v/>
      </c>
      <c r="FI60" s="74" t="str">
        <f t="shared" si="95"/>
        <v/>
      </c>
      <c r="FJ60" s="74" t="str">
        <f t="shared" si="95"/>
        <v/>
      </c>
      <c r="FK60" s="74" t="str">
        <f t="shared" si="95"/>
        <v/>
      </c>
      <c r="FL60" s="78" t="str">
        <f t="shared" si="95"/>
        <v/>
      </c>
      <c r="FM60" s="78" t="str">
        <f t="shared" si="95"/>
        <v/>
      </c>
      <c r="FN60" s="74" t="str">
        <f t="shared" si="95"/>
        <v/>
      </c>
      <c r="FO60" s="74" t="str">
        <f t="shared" si="95"/>
        <v/>
      </c>
      <c r="FP60" s="74" t="str">
        <f t="shared" si="95"/>
        <v/>
      </c>
      <c r="FQ60" s="74" t="str">
        <f t="shared" si="95"/>
        <v/>
      </c>
      <c r="FR60" s="74" t="str">
        <f t="shared" si="95"/>
        <v/>
      </c>
      <c r="FS60" s="78" t="str">
        <f t="shared" si="96"/>
        <v/>
      </c>
      <c r="FT60" s="78" t="str">
        <f t="shared" si="96"/>
        <v/>
      </c>
      <c r="FU60" s="74" t="str">
        <f t="shared" si="96"/>
        <v/>
      </c>
      <c r="FV60" s="74" t="str">
        <f t="shared" si="96"/>
        <v/>
      </c>
      <c r="FW60" s="74" t="str">
        <f t="shared" si="96"/>
        <v/>
      </c>
      <c r="FX60" s="74" t="str">
        <f t="shared" si="96"/>
        <v/>
      </c>
      <c r="FY60" s="74" t="str">
        <f t="shared" si="96"/>
        <v/>
      </c>
      <c r="FZ60" s="78" t="str">
        <f t="shared" si="96"/>
        <v/>
      </c>
      <c r="GA60" s="78" t="str">
        <f t="shared" si="96"/>
        <v/>
      </c>
      <c r="GB60" s="74" t="str">
        <f t="shared" si="96"/>
        <v/>
      </c>
      <c r="GC60" s="74" t="str">
        <f t="shared" si="97"/>
        <v/>
      </c>
      <c r="GD60" s="74" t="str">
        <f t="shared" si="97"/>
        <v/>
      </c>
      <c r="GE60" s="74" t="str">
        <f t="shared" si="97"/>
        <v/>
      </c>
      <c r="GF60" s="74" t="str">
        <f t="shared" si="97"/>
        <v/>
      </c>
      <c r="GG60" s="78" t="str">
        <f t="shared" si="97"/>
        <v/>
      </c>
      <c r="GH60" s="78" t="str">
        <f t="shared" si="97"/>
        <v/>
      </c>
      <c r="GI60" s="74" t="str">
        <f t="shared" si="97"/>
        <v/>
      </c>
      <c r="GJ60" s="74" t="str">
        <f t="shared" si="97"/>
        <v/>
      </c>
      <c r="GK60" s="74" t="str">
        <f t="shared" si="97"/>
        <v/>
      </c>
      <c r="GL60" s="74" t="str">
        <f t="shared" si="97"/>
        <v/>
      </c>
      <c r="GM60" s="74" t="str">
        <f t="shared" si="98"/>
        <v/>
      </c>
      <c r="GN60" s="78" t="str">
        <f t="shared" si="98"/>
        <v/>
      </c>
      <c r="GO60" s="78" t="str">
        <f t="shared" si="98"/>
        <v/>
      </c>
      <c r="GP60" s="74" t="str">
        <f t="shared" si="98"/>
        <v/>
      </c>
      <c r="GQ60" s="74" t="str">
        <f t="shared" si="98"/>
        <v/>
      </c>
      <c r="GR60" s="74" t="str">
        <f t="shared" si="98"/>
        <v/>
      </c>
      <c r="GS60" s="75">
        <f t="shared" si="98"/>
        <v>500</v>
      </c>
      <c r="GT60" s="75">
        <f t="shared" si="98"/>
        <v>500</v>
      </c>
      <c r="GU60" s="75">
        <f t="shared" si="98"/>
        <v>500</v>
      </c>
      <c r="GV60" s="75">
        <f t="shared" si="98"/>
        <v>500</v>
      </c>
      <c r="GW60" s="75">
        <f t="shared" si="99"/>
        <v>500</v>
      </c>
      <c r="GX60" s="75">
        <f t="shared" si="99"/>
        <v>500</v>
      </c>
      <c r="GY60" s="75">
        <f t="shared" si="99"/>
        <v>500</v>
      </c>
      <c r="GZ60" s="76">
        <f t="shared" si="99"/>
        <v>500</v>
      </c>
      <c r="HA60" s="76">
        <f t="shared" si="99"/>
        <v>500</v>
      </c>
      <c r="HB60" s="76">
        <f t="shared" si="99"/>
        <v>500</v>
      </c>
      <c r="HC60" s="76">
        <f t="shared" si="99"/>
        <v>500</v>
      </c>
      <c r="HD60" s="76">
        <f t="shared" si="99"/>
        <v>500</v>
      </c>
      <c r="HE60" s="77">
        <f t="shared" si="99"/>
        <v>500</v>
      </c>
      <c r="HF60" s="77">
        <f t="shared" si="99"/>
        <v>500</v>
      </c>
      <c r="HG60" s="77">
        <f t="shared" si="99"/>
        <v>500</v>
      </c>
      <c r="HH60" s="74" t="str">
        <f t="shared" si="99"/>
        <v/>
      </c>
    </row>
    <row r="61" spans="1:216" x14ac:dyDescent="0.2">
      <c r="A61" s="79" t="s">
        <v>253</v>
      </c>
      <c r="B61" s="79"/>
      <c r="C61" s="79"/>
      <c r="D61" s="80">
        <f>MAX(E61:HH61)</f>
        <v>3590</v>
      </c>
      <c r="E61" s="81">
        <f t="shared" ref="E61:BP61" si="100">SUM(E49:E60)</f>
        <v>0</v>
      </c>
      <c r="F61" s="81">
        <f t="shared" si="100"/>
        <v>0</v>
      </c>
      <c r="G61" s="81">
        <f t="shared" si="100"/>
        <v>0</v>
      </c>
      <c r="H61" s="81">
        <f t="shared" si="100"/>
        <v>0</v>
      </c>
      <c r="I61" s="81">
        <f t="shared" si="100"/>
        <v>0</v>
      </c>
      <c r="J61" s="81">
        <f t="shared" si="100"/>
        <v>0</v>
      </c>
      <c r="K61" s="81">
        <f t="shared" si="100"/>
        <v>0</v>
      </c>
      <c r="L61" s="81">
        <f t="shared" si="100"/>
        <v>0</v>
      </c>
      <c r="M61" s="81">
        <f t="shared" si="100"/>
        <v>0</v>
      </c>
      <c r="N61" s="81">
        <f t="shared" si="100"/>
        <v>0</v>
      </c>
      <c r="O61" s="81">
        <f t="shared" si="100"/>
        <v>0</v>
      </c>
      <c r="P61" s="81">
        <f t="shared" si="100"/>
        <v>0</v>
      </c>
      <c r="Q61" s="81">
        <f t="shared" si="100"/>
        <v>0</v>
      </c>
      <c r="R61" s="81">
        <f t="shared" si="100"/>
        <v>0</v>
      </c>
      <c r="S61" s="81">
        <f t="shared" si="100"/>
        <v>0</v>
      </c>
      <c r="T61" s="81">
        <f t="shared" si="100"/>
        <v>0</v>
      </c>
      <c r="U61" s="81">
        <f t="shared" si="100"/>
        <v>0</v>
      </c>
      <c r="V61" s="81">
        <f t="shared" si="100"/>
        <v>0</v>
      </c>
      <c r="W61" s="81">
        <f t="shared" si="100"/>
        <v>0</v>
      </c>
      <c r="X61" s="81">
        <f t="shared" si="100"/>
        <v>0</v>
      </c>
      <c r="Y61" s="81">
        <f t="shared" si="100"/>
        <v>0</v>
      </c>
      <c r="Z61" s="81">
        <f t="shared" si="100"/>
        <v>0</v>
      </c>
      <c r="AA61" s="81">
        <f t="shared" si="100"/>
        <v>0</v>
      </c>
      <c r="AB61" s="81">
        <f t="shared" si="100"/>
        <v>0</v>
      </c>
      <c r="AC61" s="81">
        <f t="shared" si="100"/>
        <v>0</v>
      </c>
      <c r="AD61" s="81">
        <f t="shared" si="100"/>
        <v>0</v>
      </c>
      <c r="AE61" s="81">
        <f t="shared" si="100"/>
        <v>0</v>
      </c>
      <c r="AF61" s="81">
        <f t="shared" si="100"/>
        <v>0</v>
      </c>
      <c r="AG61" s="81">
        <f t="shared" si="100"/>
        <v>0</v>
      </c>
      <c r="AH61" s="81">
        <f t="shared" si="100"/>
        <v>0</v>
      </c>
      <c r="AI61" s="81">
        <f t="shared" si="100"/>
        <v>0</v>
      </c>
      <c r="AJ61" s="81">
        <f t="shared" si="100"/>
        <v>0</v>
      </c>
      <c r="AK61" s="81">
        <f t="shared" si="100"/>
        <v>0</v>
      </c>
      <c r="AL61" s="81">
        <f t="shared" si="100"/>
        <v>0</v>
      </c>
      <c r="AM61" s="81">
        <f t="shared" si="100"/>
        <v>550</v>
      </c>
      <c r="AN61" s="81">
        <f t="shared" si="100"/>
        <v>550</v>
      </c>
      <c r="AO61" s="81">
        <f t="shared" si="100"/>
        <v>550</v>
      </c>
      <c r="AP61" s="81">
        <f t="shared" si="100"/>
        <v>550</v>
      </c>
      <c r="AQ61" s="81">
        <f t="shared" si="100"/>
        <v>550</v>
      </c>
      <c r="AR61" s="81">
        <f t="shared" si="100"/>
        <v>550</v>
      </c>
      <c r="AS61" s="81">
        <f t="shared" si="100"/>
        <v>1100</v>
      </c>
      <c r="AT61" s="81">
        <f t="shared" si="100"/>
        <v>1100</v>
      </c>
      <c r="AU61" s="81">
        <f t="shared" si="100"/>
        <v>1100</v>
      </c>
      <c r="AV61" s="81">
        <f t="shared" si="100"/>
        <v>1100</v>
      </c>
      <c r="AW61" s="81">
        <f t="shared" si="100"/>
        <v>1150</v>
      </c>
      <c r="AX61" s="81">
        <f t="shared" si="100"/>
        <v>1150</v>
      </c>
      <c r="AY61" s="81">
        <f t="shared" si="100"/>
        <v>1150</v>
      </c>
      <c r="AZ61" s="81">
        <f t="shared" si="100"/>
        <v>1150</v>
      </c>
      <c r="BA61" s="81">
        <f t="shared" si="100"/>
        <v>1150</v>
      </c>
      <c r="BB61" s="81">
        <f t="shared" si="100"/>
        <v>1150</v>
      </c>
      <c r="BC61" s="81">
        <f t="shared" si="100"/>
        <v>2250</v>
      </c>
      <c r="BD61" s="81">
        <f t="shared" si="100"/>
        <v>2250</v>
      </c>
      <c r="BE61" s="81">
        <f t="shared" si="100"/>
        <v>2250</v>
      </c>
      <c r="BF61" s="81">
        <f t="shared" si="100"/>
        <v>2250</v>
      </c>
      <c r="BG61" s="81">
        <f t="shared" si="100"/>
        <v>2250</v>
      </c>
      <c r="BH61" s="81">
        <f t="shared" si="100"/>
        <v>2250</v>
      </c>
      <c r="BI61" s="81">
        <f t="shared" si="100"/>
        <v>3010</v>
      </c>
      <c r="BJ61" s="81">
        <f t="shared" si="100"/>
        <v>3590</v>
      </c>
      <c r="BK61" s="81">
        <f t="shared" si="100"/>
        <v>3590</v>
      </c>
      <c r="BL61" s="81">
        <f t="shared" si="100"/>
        <v>3590</v>
      </c>
      <c r="BM61" s="81">
        <f t="shared" si="100"/>
        <v>3590</v>
      </c>
      <c r="BN61" s="81">
        <f t="shared" si="100"/>
        <v>3590</v>
      </c>
      <c r="BO61" s="81">
        <f t="shared" si="100"/>
        <v>3590</v>
      </c>
      <c r="BP61" s="81">
        <f t="shared" si="100"/>
        <v>3590</v>
      </c>
      <c r="BQ61" s="81">
        <f t="shared" ref="BQ61:EB61" si="101">SUM(BQ49:BQ60)</f>
        <v>3590</v>
      </c>
      <c r="BR61" s="81">
        <f t="shared" si="101"/>
        <v>3590</v>
      </c>
      <c r="BS61" s="81">
        <f t="shared" si="101"/>
        <v>3590</v>
      </c>
      <c r="BT61" s="81">
        <f t="shared" si="101"/>
        <v>3040</v>
      </c>
      <c r="BU61" s="81">
        <f t="shared" si="101"/>
        <v>3040</v>
      </c>
      <c r="BV61" s="81">
        <f t="shared" si="101"/>
        <v>3040</v>
      </c>
      <c r="BW61" s="81">
        <f t="shared" si="101"/>
        <v>1860</v>
      </c>
      <c r="BX61" s="81">
        <f t="shared" si="101"/>
        <v>1860</v>
      </c>
      <c r="BY61" s="81">
        <f t="shared" si="101"/>
        <v>1860</v>
      </c>
      <c r="BZ61" s="81">
        <f t="shared" si="101"/>
        <v>1860</v>
      </c>
      <c r="CA61" s="81">
        <f t="shared" si="101"/>
        <v>1860</v>
      </c>
      <c r="CB61" s="81">
        <f t="shared" si="101"/>
        <v>1860</v>
      </c>
      <c r="CC61" s="81">
        <f t="shared" si="101"/>
        <v>1860</v>
      </c>
      <c r="CD61" s="81">
        <f t="shared" si="101"/>
        <v>1860</v>
      </c>
      <c r="CE61" s="81">
        <f t="shared" si="101"/>
        <v>1860</v>
      </c>
      <c r="CF61" s="81">
        <f t="shared" si="101"/>
        <v>1860</v>
      </c>
      <c r="CG61" s="81">
        <f t="shared" si="101"/>
        <v>1860</v>
      </c>
      <c r="CH61" s="81">
        <f t="shared" si="101"/>
        <v>1860</v>
      </c>
      <c r="CI61" s="81">
        <f t="shared" si="101"/>
        <v>1860</v>
      </c>
      <c r="CJ61" s="81">
        <f t="shared" si="101"/>
        <v>1860</v>
      </c>
      <c r="CK61" s="81">
        <f t="shared" si="101"/>
        <v>1860</v>
      </c>
      <c r="CL61" s="81">
        <f t="shared" si="101"/>
        <v>1860</v>
      </c>
      <c r="CM61" s="81">
        <f t="shared" si="101"/>
        <v>1860</v>
      </c>
      <c r="CN61" s="81">
        <f t="shared" si="101"/>
        <v>1860</v>
      </c>
      <c r="CO61" s="81">
        <f t="shared" si="101"/>
        <v>1860</v>
      </c>
      <c r="CP61" s="81">
        <f t="shared" si="101"/>
        <v>1100</v>
      </c>
      <c r="CQ61" s="81">
        <f t="shared" si="101"/>
        <v>1100</v>
      </c>
      <c r="CR61" s="81">
        <f t="shared" si="101"/>
        <v>1100</v>
      </c>
      <c r="CS61" s="81">
        <f t="shared" si="101"/>
        <v>1100</v>
      </c>
      <c r="CT61" s="81">
        <f t="shared" si="101"/>
        <v>1100</v>
      </c>
      <c r="CU61" s="81">
        <f t="shared" si="101"/>
        <v>1100</v>
      </c>
      <c r="CV61" s="81">
        <f t="shared" si="101"/>
        <v>1100</v>
      </c>
      <c r="CW61" s="81">
        <f t="shared" si="101"/>
        <v>1100</v>
      </c>
      <c r="CX61" s="81">
        <f t="shared" si="101"/>
        <v>1100</v>
      </c>
      <c r="CY61" s="81">
        <f t="shared" si="101"/>
        <v>1100</v>
      </c>
      <c r="CZ61" s="81">
        <f t="shared" si="101"/>
        <v>1100</v>
      </c>
      <c r="DA61" s="81">
        <f t="shared" si="101"/>
        <v>1100</v>
      </c>
      <c r="DB61" s="81">
        <f t="shared" si="101"/>
        <v>1100</v>
      </c>
      <c r="DC61" s="81">
        <f t="shared" si="101"/>
        <v>1100</v>
      </c>
      <c r="DD61" s="81">
        <f t="shared" si="101"/>
        <v>0</v>
      </c>
      <c r="DE61" s="81">
        <f t="shared" si="101"/>
        <v>0</v>
      </c>
      <c r="DF61" s="81">
        <f t="shared" si="101"/>
        <v>0</v>
      </c>
      <c r="DG61" s="81">
        <f t="shared" si="101"/>
        <v>0</v>
      </c>
      <c r="DH61" s="81">
        <f t="shared" si="101"/>
        <v>0</v>
      </c>
      <c r="DI61" s="81">
        <f t="shared" si="101"/>
        <v>0</v>
      </c>
      <c r="DJ61" s="81">
        <f t="shared" si="101"/>
        <v>0</v>
      </c>
      <c r="DK61" s="81">
        <f t="shared" si="101"/>
        <v>0</v>
      </c>
      <c r="DL61" s="81">
        <f t="shared" si="101"/>
        <v>0</v>
      </c>
      <c r="DM61" s="81">
        <f t="shared" si="101"/>
        <v>0</v>
      </c>
      <c r="DN61" s="81">
        <f t="shared" si="101"/>
        <v>0</v>
      </c>
      <c r="DO61" s="81">
        <f t="shared" si="101"/>
        <v>0</v>
      </c>
      <c r="DP61" s="81">
        <f t="shared" si="101"/>
        <v>0</v>
      </c>
      <c r="DQ61" s="81">
        <f t="shared" si="101"/>
        <v>0</v>
      </c>
      <c r="DR61" s="81">
        <f t="shared" si="101"/>
        <v>0</v>
      </c>
      <c r="DS61" s="81">
        <f t="shared" si="101"/>
        <v>192</v>
      </c>
      <c r="DT61" s="81">
        <f t="shared" si="101"/>
        <v>192</v>
      </c>
      <c r="DU61" s="81">
        <f t="shared" si="101"/>
        <v>192</v>
      </c>
      <c r="DV61" s="81">
        <f t="shared" si="101"/>
        <v>192</v>
      </c>
      <c r="DW61" s="81">
        <f t="shared" si="101"/>
        <v>192</v>
      </c>
      <c r="DX61" s="81">
        <f t="shared" si="101"/>
        <v>192</v>
      </c>
      <c r="DY61" s="81">
        <f t="shared" si="101"/>
        <v>192</v>
      </c>
      <c r="DZ61" s="81">
        <f t="shared" si="101"/>
        <v>192</v>
      </c>
      <c r="EA61" s="81">
        <f t="shared" si="101"/>
        <v>192</v>
      </c>
      <c r="EB61" s="81">
        <f t="shared" si="101"/>
        <v>192</v>
      </c>
      <c r="EC61" s="81">
        <f t="shared" ref="EC61:GN61" si="102">SUM(EC49:EC60)</f>
        <v>192</v>
      </c>
      <c r="ED61" s="81">
        <f t="shared" si="102"/>
        <v>192</v>
      </c>
      <c r="EE61" s="81">
        <f t="shared" si="102"/>
        <v>192</v>
      </c>
      <c r="EF61" s="81">
        <f t="shared" si="102"/>
        <v>192</v>
      </c>
      <c r="EG61" s="81">
        <f t="shared" si="102"/>
        <v>192</v>
      </c>
      <c r="EH61" s="81">
        <f t="shared" si="102"/>
        <v>192</v>
      </c>
      <c r="EI61" s="81">
        <f t="shared" si="102"/>
        <v>192</v>
      </c>
      <c r="EJ61" s="81">
        <f t="shared" si="102"/>
        <v>192</v>
      </c>
      <c r="EK61" s="81">
        <f t="shared" si="102"/>
        <v>192</v>
      </c>
      <c r="EL61" s="81">
        <f t="shared" si="102"/>
        <v>192</v>
      </c>
      <c r="EM61" s="81">
        <f t="shared" si="102"/>
        <v>192</v>
      </c>
      <c r="EN61" s="81">
        <f t="shared" si="102"/>
        <v>192</v>
      </c>
      <c r="EO61" s="81">
        <f t="shared" si="102"/>
        <v>192</v>
      </c>
      <c r="EP61" s="81">
        <f t="shared" si="102"/>
        <v>0</v>
      </c>
      <c r="EQ61" s="81">
        <f t="shared" si="102"/>
        <v>0</v>
      </c>
      <c r="ER61" s="81">
        <f t="shared" si="102"/>
        <v>0</v>
      </c>
      <c r="ES61" s="81">
        <f t="shared" si="102"/>
        <v>0</v>
      </c>
      <c r="ET61" s="81">
        <f t="shared" si="102"/>
        <v>0</v>
      </c>
      <c r="EU61" s="81">
        <f t="shared" si="102"/>
        <v>0</v>
      </c>
      <c r="EV61" s="81">
        <f t="shared" si="102"/>
        <v>0</v>
      </c>
      <c r="EW61" s="81">
        <f t="shared" si="102"/>
        <v>0</v>
      </c>
      <c r="EX61" s="81">
        <f t="shared" si="102"/>
        <v>0</v>
      </c>
      <c r="EY61" s="81">
        <f t="shared" si="102"/>
        <v>0</v>
      </c>
      <c r="EZ61" s="81">
        <f t="shared" si="102"/>
        <v>0</v>
      </c>
      <c r="FA61" s="81">
        <f t="shared" si="102"/>
        <v>0</v>
      </c>
      <c r="FB61" s="81">
        <f t="shared" si="102"/>
        <v>0</v>
      </c>
      <c r="FC61" s="81">
        <f t="shared" si="102"/>
        <v>0</v>
      </c>
      <c r="FD61" s="81">
        <f t="shared" si="102"/>
        <v>0</v>
      </c>
      <c r="FE61" s="81">
        <f t="shared" si="102"/>
        <v>0</v>
      </c>
      <c r="FF61" s="81">
        <f t="shared" si="102"/>
        <v>0</v>
      </c>
      <c r="FG61" s="81">
        <f t="shared" si="102"/>
        <v>0</v>
      </c>
      <c r="FH61" s="81">
        <f t="shared" si="102"/>
        <v>0</v>
      </c>
      <c r="FI61" s="81">
        <f t="shared" si="102"/>
        <v>0</v>
      </c>
      <c r="FJ61" s="81">
        <f t="shared" si="102"/>
        <v>0</v>
      </c>
      <c r="FK61" s="81">
        <f t="shared" si="102"/>
        <v>0</v>
      </c>
      <c r="FL61" s="81">
        <f t="shared" si="102"/>
        <v>0</v>
      </c>
      <c r="FM61" s="81">
        <f t="shared" si="102"/>
        <v>0</v>
      </c>
      <c r="FN61" s="81">
        <f t="shared" si="102"/>
        <v>0</v>
      </c>
      <c r="FO61" s="81">
        <f t="shared" si="102"/>
        <v>0</v>
      </c>
      <c r="FP61" s="81">
        <f t="shared" si="102"/>
        <v>0</v>
      </c>
      <c r="FQ61" s="81">
        <f t="shared" si="102"/>
        <v>0</v>
      </c>
      <c r="FR61" s="81">
        <f t="shared" si="102"/>
        <v>0</v>
      </c>
      <c r="FS61" s="81">
        <f t="shared" si="102"/>
        <v>225</v>
      </c>
      <c r="FT61" s="81">
        <f t="shared" si="102"/>
        <v>225</v>
      </c>
      <c r="FU61" s="81">
        <f t="shared" si="102"/>
        <v>225</v>
      </c>
      <c r="FV61" s="81">
        <f t="shared" si="102"/>
        <v>225</v>
      </c>
      <c r="FW61" s="81">
        <f t="shared" si="102"/>
        <v>225</v>
      </c>
      <c r="FX61" s="81">
        <f t="shared" si="102"/>
        <v>225</v>
      </c>
      <c r="FY61" s="81">
        <f t="shared" si="102"/>
        <v>225</v>
      </c>
      <c r="FZ61" s="81">
        <f t="shared" si="102"/>
        <v>225</v>
      </c>
      <c r="GA61" s="81">
        <f t="shared" si="102"/>
        <v>225</v>
      </c>
      <c r="GB61" s="81">
        <f t="shared" si="102"/>
        <v>225</v>
      </c>
      <c r="GC61" s="81">
        <f t="shared" si="102"/>
        <v>225</v>
      </c>
      <c r="GD61" s="81">
        <f t="shared" si="102"/>
        <v>225</v>
      </c>
      <c r="GE61" s="81">
        <f t="shared" si="102"/>
        <v>225</v>
      </c>
      <c r="GF61" s="81">
        <f t="shared" si="102"/>
        <v>225</v>
      </c>
      <c r="GG61" s="81">
        <f t="shared" si="102"/>
        <v>225</v>
      </c>
      <c r="GH61" s="81">
        <f t="shared" si="102"/>
        <v>225</v>
      </c>
      <c r="GI61" s="81">
        <f t="shared" si="102"/>
        <v>225</v>
      </c>
      <c r="GJ61" s="81">
        <f t="shared" si="102"/>
        <v>225</v>
      </c>
      <c r="GK61" s="81">
        <f t="shared" si="102"/>
        <v>225</v>
      </c>
      <c r="GL61" s="81">
        <f t="shared" si="102"/>
        <v>225</v>
      </c>
      <c r="GM61" s="81">
        <f t="shared" si="102"/>
        <v>225</v>
      </c>
      <c r="GN61" s="81">
        <f t="shared" si="102"/>
        <v>225</v>
      </c>
      <c r="GO61" s="81">
        <f t="shared" ref="GO61:IZ61" si="103">SUM(GO49:GO60)</f>
        <v>225</v>
      </c>
      <c r="GP61" s="81">
        <f t="shared" si="103"/>
        <v>225</v>
      </c>
      <c r="GQ61" s="81">
        <f t="shared" si="103"/>
        <v>225</v>
      </c>
      <c r="GR61" s="81">
        <f t="shared" si="103"/>
        <v>225</v>
      </c>
      <c r="GS61" s="81">
        <f t="shared" si="103"/>
        <v>725</v>
      </c>
      <c r="GT61" s="81">
        <f t="shared" si="103"/>
        <v>725</v>
      </c>
      <c r="GU61" s="81">
        <f t="shared" si="103"/>
        <v>725</v>
      </c>
      <c r="GV61" s="81">
        <f t="shared" si="103"/>
        <v>725</v>
      </c>
      <c r="GW61" s="81">
        <f t="shared" si="103"/>
        <v>725</v>
      </c>
      <c r="GX61" s="81">
        <f t="shared" si="103"/>
        <v>500</v>
      </c>
      <c r="GY61" s="81">
        <f t="shared" si="103"/>
        <v>500</v>
      </c>
      <c r="GZ61" s="81">
        <f t="shared" si="103"/>
        <v>500</v>
      </c>
      <c r="HA61" s="81">
        <f t="shared" si="103"/>
        <v>500</v>
      </c>
      <c r="HB61" s="81">
        <f t="shared" si="103"/>
        <v>500</v>
      </c>
      <c r="HC61" s="81">
        <f t="shared" si="103"/>
        <v>500</v>
      </c>
      <c r="HD61" s="81">
        <f t="shared" si="103"/>
        <v>500</v>
      </c>
      <c r="HE61" s="81">
        <f t="shared" si="103"/>
        <v>500</v>
      </c>
      <c r="HF61" s="81">
        <f t="shared" si="103"/>
        <v>500</v>
      </c>
      <c r="HG61" s="81">
        <f t="shared" si="103"/>
        <v>500</v>
      </c>
      <c r="HH61" s="81">
        <f t="shared" si="103"/>
        <v>0</v>
      </c>
    </row>
    <row r="62" spans="1:216" x14ac:dyDescent="0.2">
      <c r="A62" s="72" t="s">
        <v>254</v>
      </c>
      <c r="B62" s="72"/>
      <c r="C62" s="72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3"/>
      <c r="CN62" s="73"/>
      <c r="CO62" s="73"/>
      <c r="CP62" s="73"/>
      <c r="CQ62" s="73"/>
      <c r="CR62" s="73"/>
      <c r="CS62" s="73"/>
      <c r="CT62" s="73"/>
      <c r="CU62" s="73"/>
      <c r="CV62" s="73"/>
      <c r="CW62" s="73"/>
      <c r="CX62" s="73"/>
      <c r="CY62" s="73"/>
      <c r="CZ62" s="73"/>
      <c r="DA62" s="73"/>
      <c r="DB62" s="73"/>
      <c r="DC62" s="73"/>
      <c r="DD62" s="73"/>
      <c r="DE62" s="73"/>
      <c r="DF62" s="73"/>
      <c r="DG62" s="73"/>
      <c r="DH62" s="73"/>
      <c r="DI62" s="73"/>
      <c r="DJ62" s="73"/>
      <c r="DK62" s="73"/>
      <c r="DL62" s="73"/>
      <c r="DM62" s="73"/>
      <c r="DN62" s="73"/>
      <c r="DO62" s="73"/>
      <c r="DP62" s="73"/>
      <c r="DQ62" s="73"/>
      <c r="DR62" s="73"/>
      <c r="DS62" s="73"/>
      <c r="DT62" s="73"/>
      <c r="DU62" s="73"/>
      <c r="DV62" s="73"/>
      <c r="DW62" s="73"/>
      <c r="DX62" s="73"/>
      <c r="DY62" s="73"/>
      <c r="DZ62" s="73"/>
      <c r="EA62" s="73"/>
      <c r="EB62" s="73"/>
      <c r="EC62" s="73"/>
      <c r="ED62" s="73"/>
      <c r="EE62" s="73"/>
      <c r="EF62" s="73"/>
      <c r="EG62" s="73"/>
      <c r="EH62" s="73"/>
      <c r="EI62" s="73"/>
      <c r="EJ62" s="73"/>
      <c r="EK62" s="73"/>
      <c r="EL62" s="73"/>
      <c r="EM62" s="73"/>
      <c r="EN62" s="73"/>
      <c r="EO62" s="73"/>
      <c r="EP62" s="73"/>
      <c r="EQ62" s="73"/>
      <c r="ER62" s="73"/>
      <c r="ES62" s="73"/>
      <c r="ET62" s="73"/>
      <c r="EU62" s="73"/>
      <c r="EV62" s="73"/>
      <c r="EW62" s="73"/>
      <c r="EX62" s="73"/>
      <c r="EY62" s="73"/>
      <c r="EZ62" s="73"/>
      <c r="FA62" s="73"/>
      <c r="FB62" s="73"/>
      <c r="FC62" s="73"/>
      <c r="FD62" s="73"/>
      <c r="FE62" s="73"/>
      <c r="FF62" s="73"/>
      <c r="FG62" s="73"/>
      <c r="FH62" s="73"/>
      <c r="FI62" s="73"/>
      <c r="FJ62" s="73"/>
      <c r="FK62" s="73"/>
      <c r="FL62" s="73"/>
      <c r="FM62" s="73"/>
      <c r="FN62" s="73"/>
      <c r="FO62" s="73"/>
      <c r="FP62" s="73"/>
      <c r="FQ62" s="73"/>
      <c r="FR62" s="73"/>
      <c r="FS62" s="73"/>
      <c r="FT62" s="73"/>
      <c r="FU62" s="73"/>
      <c r="FV62" s="73"/>
      <c r="FW62" s="73"/>
      <c r="FX62" s="73"/>
      <c r="FY62" s="73"/>
      <c r="FZ62" s="73"/>
      <c r="GA62" s="73"/>
      <c r="GB62" s="73"/>
      <c r="GC62" s="73"/>
      <c r="GD62" s="73"/>
      <c r="GE62" s="73"/>
      <c r="GF62" s="73"/>
      <c r="GG62" s="73"/>
      <c r="GH62" s="73"/>
      <c r="GI62" s="73"/>
      <c r="GJ62" s="73"/>
      <c r="GK62" s="73"/>
      <c r="GL62" s="73"/>
      <c r="GM62" s="73"/>
      <c r="GN62" s="73"/>
      <c r="GO62" s="73"/>
      <c r="GP62" s="73"/>
      <c r="GQ62" s="73"/>
      <c r="GR62" s="73"/>
      <c r="GS62" s="73"/>
      <c r="GT62" s="73"/>
      <c r="GU62" s="73"/>
      <c r="GV62" s="73"/>
      <c r="GW62" s="73"/>
      <c r="GX62" s="73"/>
      <c r="GY62" s="73"/>
      <c r="GZ62" s="73"/>
      <c r="HA62" s="73"/>
      <c r="HB62" s="73"/>
      <c r="HC62" s="73"/>
      <c r="HD62" s="73"/>
      <c r="HE62" s="73"/>
      <c r="HF62" s="73"/>
      <c r="HG62" s="73"/>
      <c r="HH62" s="73"/>
    </row>
    <row r="63" spans="1:216" x14ac:dyDescent="0.2">
      <c r="A63" s="82" t="str">
        <f>'FY1 Event Pipeline'!A4</f>
        <v>Saadiyat Nights</v>
      </c>
      <c r="B63" s="83">
        <f>_xlfn.XLOOKUP(A63,'FY1 Event Pipeline'!$A$4:$A$15,'FY1 Event Pipeline'!$H$4:$H$15)</f>
        <v>46297</v>
      </c>
      <c r="C63" s="83">
        <f>_xlfn.XLOOKUP(A63,'FY1 Event Pipeline'!$A$4:$A$15,'FY1 Event Pipeline'!$J$4:$J$15)</f>
        <v>46453</v>
      </c>
      <c r="D63" s="84">
        <f>_xlfn.XLOOKUP(A63,'FY1 Event Pipeline'!$A$4:$A$15,'FY1 Event Pipeline'!$R$4:$R$15)</f>
        <v>280</v>
      </c>
      <c r="E63" s="74" t="str">
        <f t="shared" ref="E63:N74" si="104">IF(AND(E$5&gt;=$B63,E$5&lt;=$C63),$D63,"")</f>
        <v/>
      </c>
      <c r="F63" s="75">
        <f t="shared" si="104"/>
        <v>280</v>
      </c>
      <c r="G63" s="75">
        <f t="shared" si="104"/>
        <v>280</v>
      </c>
      <c r="H63" s="75">
        <f t="shared" si="104"/>
        <v>280</v>
      </c>
      <c r="I63" s="75">
        <f t="shared" si="104"/>
        <v>280</v>
      </c>
      <c r="J63" s="75">
        <f t="shared" si="104"/>
        <v>280</v>
      </c>
      <c r="K63" s="75">
        <f t="shared" si="104"/>
        <v>280</v>
      </c>
      <c r="L63" s="75">
        <f t="shared" si="104"/>
        <v>280</v>
      </c>
      <c r="M63" s="75">
        <f t="shared" si="104"/>
        <v>280</v>
      </c>
      <c r="N63" s="75">
        <f t="shared" si="104"/>
        <v>280</v>
      </c>
      <c r="O63" s="75">
        <f t="shared" ref="O63:X74" si="105">IF(AND(O$5&gt;=$B63,O$5&lt;=$C63),$D63,"")</f>
        <v>280</v>
      </c>
      <c r="P63" s="75">
        <f t="shared" si="105"/>
        <v>280</v>
      </c>
      <c r="Q63" s="75">
        <f t="shared" si="105"/>
        <v>280</v>
      </c>
      <c r="R63" s="75">
        <f t="shared" si="105"/>
        <v>280</v>
      </c>
      <c r="S63" s="75">
        <f t="shared" si="105"/>
        <v>280</v>
      </c>
      <c r="T63" s="75">
        <f t="shared" si="105"/>
        <v>280</v>
      </c>
      <c r="U63" s="75">
        <f t="shared" si="105"/>
        <v>280</v>
      </c>
      <c r="V63" s="75">
        <f t="shared" si="105"/>
        <v>280</v>
      </c>
      <c r="W63" s="75">
        <f t="shared" si="105"/>
        <v>280</v>
      </c>
      <c r="X63" s="75">
        <f t="shared" si="105"/>
        <v>280</v>
      </c>
      <c r="Y63" s="75">
        <f t="shared" ref="Y63:AH74" si="106">IF(AND(Y$5&gt;=$B63,Y$5&lt;=$C63),$D63,"")</f>
        <v>280</v>
      </c>
      <c r="Z63" s="75">
        <f t="shared" si="106"/>
        <v>280</v>
      </c>
      <c r="AA63" s="75">
        <f t="shared" si="106"/>
        <v>280</v>
      </c>
      <c r="AB63" s="75">
        <f t="shared" si="106"/>
        <v>280</v>
      </c>
      <c r="AC63" s="75">
        <f t="shared" si="106"/>
        <v>280</v>
      </c>
      <c r="AD63" s="75">
        <f t="shared" si="106"/>
        <v>280</v>
      </c>
      <c r="AE63" s="75">
        <f t="shared" si="106"/>
        <v>280</v>
      </c>
      <c r="AF63" s="75">
        <f t="shared" si="106"/>
        <v>280</v>
      </c>
      <c r="AG63" s="75">
        <f t="shared" si="106"/>
        <v>280</v>
      </c>
      <c r="AH63" s="75">
        <f t="shared" si="106"/>
        <v>280</v>
      </c>
      <c r="AI63" s="75">
        <f t="shared" ref="AI63:AR74" si="107">IF(AND(AI$5&gt;=$B63,AI$5&lt;=$C63),$D63,"")</f>
        <v>280</v>
      </c>
      <c r="AJ63" s="76">
        <f t="shared" si="107"/>
        <v>280</v>
      </c>
      <c r="AK63" s="76">
        <f t="shared" si="107"/>
        <v>280</v>
      </c>
      <c r="AL63" s="76">
        <f t="shared" si="107"/>
        <v>280</v>
      </c>
      <c r="AM63" s="76">
        <f t="shared" si="107"/>
        <v>280</v>
      </c>
      <c r="AN63" s="76">
        <f t="shared" si="107"/>
        <v>280</v>
      </c>
      <c r="AO63" s="76">
        <f t="shared" si="107"/>
        <v>280</v>
      </c>
      <c r="AP63" s="76">
        <f t="shared" si="107"/>
        <v>280</v>
      </c>
      <c r="AQ63" s="76">
        <f t="shared" si="107"/>
        <v>280</v>
      </c>
      <c r="AR63" s="76">
        <f t="shared" si="107"/>
        <v>280</v>
      </c>
      <c r="AS63" s="76">
        <f t="shared" ref="AS63:BB74" si="108">IF(AND(AS$5&gt;=$B63,AS$5&lt;=$C63),$D63,"")</f>
        <v>280</v>
      </c>
      <c r="AT63" s="76">
        <f t="shared" si="108"/>
        <v>280</v>
      </c>
      <c r="AU63" s="76">
        <f t="shared" si="108"/>
        <v>280</v>
      </c>
      <c r="AV63" s="76">
        <f t="shared" si="108"/>
        <v>280</v>
      </c>
      <c r="AW63" s="76">
        <f t="shared" si="108"/>
        <v>280</v>
      </c>
      <c r="AX63" s="76">
        <f t="shared" si="108"/>
        <v>280</v>
      </c>
      <c r="AY63" s="76">
        <f t="shared" si="108"/>
        <v>280</v>
      </c>
      <c r="AZ63" s="76">
        <f t="shared" si="108"/>
        <v>280</v>
      </c>
      <c r="BA63" s="76">
        <f t="shared" si="108"/>
        <v>280</v>
      </c>
      <c r="BB63" s="76">
        <f t="shared" si="108"/>
        <v>280</v>
      </c>
      <c r="BC63" s="76">
        <f t="shared" ref="BC63:BL74" si="109">IF(AND(BC$5&gt;=$B63,BC$5&lt;=$C63),$D63,"")</f>
        <v>280</v>
      </c>
      <c r="BD63" s="76">
        <f t="shared" si="109"/>
        <v>280</v>
      </c>
      <c r="BE63" s="76">
        <f t="shared" si="109"/>
        <v>280</v>
      </c>
      <c r="BF63" s="76">
        <f t="shared" si="109"/>
        <v>280</v>
      </c>
      <c r="BG63" s="76">
        <f t="shared" si="109"/>
        <v>280</v>
      </c>
      <c r="BH63" s="76">
        <f t="shared" si="109"/>
        <v>280</v>
      </c>
      <c r="BI63" s="76">
        <f t="shared" si="109"/>
        <v>280</v>
      </c>
      <c r="BJ63" s="76">
        <f t="shared" si="109"/>
        <v>280</v>
      </c>
      <c r="BK63" s="76">
        <f t="shared" si="109"/>
        <v>280</v>
      </c>
      <c r="BL63" s="76">
        <f t="shared" si="109"/>
        <v>280</v>
      </c>
      <c r="BM63" s="76">
        <f t="shared" ref="BM63:BV74" si="110">IF(AND(BM$5&gt;=$B63,BM$5&lt;=$C63),$D63,"")</f>
        <v>280</v>
      </c>
      <c r="BN63" s="76">
        <f t="shared" si="110"/>
        <v>280</v>
      </c>
      <c r="BO63" s="76">
        <f t="shared" si="110"/>
        <v>280</v>
      </c>
      <c r="BP63" s="76">
        <f t="shared" si="110"/>
        <v>280</v>
      </c>
      <c r="BQ63" s="76">
        <f t="shared" si="110"/>
        <v>280</v>
      </c>
      <c r="BR63" s="76">
        <f t="shared" si="110"/>
        <v>280</v>
      </c>
      <c r="BS63" s="76">
        <f t="shared" si="110"/>
        <v>280</v>
      </c>
      <c r="BT63" s="76">
        <f t="shared" si="110"/>
        <v>280</v>
      </c>
      <c r="BU63" s="76">
        <f t="shared" si="110"/>
        <v>280</v>
      </c>
      <c r="BV63" s="76">
        <f t="shared" si="110"/>
        <v>280</v>
      </c>
      <c r="BW63" s="76">
        <f t="shared" ref="BW63:CF74" si="111">IF(AND(BW$5&gt;=$B63,BW$5&lt;=$C63),$D63,"")</f>
        <v>280</v>
      </c>
      <c r="BX63" s="76">
        <f t="shared" si="111"/>
        <v>280</v>
      </c>
      <c r="BY63" s="76">
        <f t="shared" si="111"/>
        <v>280</v>
      </c>
      <c r="BZ63" s="76">
        <f t="shared" si="111"/>
        <v>280</v>
      </c>
      <c r="CA63" s="76">
        <f t="shared" si="111"/>
        <v>280</v>
      </c>
      <c r="CB63" s="76">
        <f t="shared" si="111"/>
        <v>280</v>
      </c>
      <c r="CC63" s="76">
        <f t="shared" si="111"/>
        <v>280</v>
      </c>
      <c r="CD63" s="76">
        <f t="shared" si="111"/>
        <v>280</v>
      </c>
      <c r="CE63" s="76">
        <f t="shared" si="111"/>
        <v>280</v>
      </c>
      <c r="CF63" s="76">
        <f t="shared" si="111"/>
        <v>280</v>
      </c>
      <c r="CG63" s="76">
        <f t="shared" ref="CG63:CP74" si="112">IF(AND(CG$5&gt;=$B63,CG$5&lt;=$C63),$D63,"")</f>
        <v>280</v>
      </c>
      <c r="CH63" s="76">
        <f t="shared" si="112"/>
        <v>280</v>
      </c>
      <c r="CI63" s="76">
        <f t="shared" si="112"/>
        <v>280</v>
      </c>
      <c r="CJ63" s="76">
        <f t="shared" si="112"/>
        <v>280</v>
      </c>
      <c r="CK63" s="76">
        <f t="shared" si="112"/>
        <v>280</v>
      </c>
      <c r="CL63" s="76">
        <f t="shared" si="112"/>
        <v>280</v>
      </c>
      <c r="CM63" s="76">
        <f t="shared" si="112"/>
        <v>280</v>
      </c>
      <c r="CN63" s="76">
        <f t="shared" si="112"/>
        <v>280</v>
      </c>
      <c r="CO63" s="76">
        <f t="shared" si="112"/>
        <v>280</v>
      </c>
      <c r="CP63" s="76">
        <f t="shared" si="112"/>
        <v>280</v>
      </c>
      <c r="CQ63" s="76">
        <f t="shared" ref="CQ63:CZ74" si="113">IF(AND(CQ$5&gt;=$B63,CQ$5&lt;=$C63),$D63,"")</f>
        <v>280</v>
      </c>
      <c r="CR63" s="76">
        <f t="shared" si="113"/>
        <v>280</v>
      </c>
      <c r="CS63" s="76">
        <f t="shared" si="113"/>
        <v>280</v>
      </c>
      <c r="CT63" s="76">
        <f t="shared" si="113"/>
        <v>280</v>
      </c>
      <c r="CU63" s="76">
        <f t="shared" si="113"/>
        <v>280</v>
      </c>
      <c r="CV63" s="76">
        <f t="shared" si="113"/>
        <v>280</v>
      </c>
      <c r="CW63" s="76">
        <f t="shared" si="113"/>
        <v>280</v>
      </c>
      <c r="CX63" s="76">
        <f t="shared" si="113"/>
        <v>280</v>
      </c>
      <c r="CY63" s="76">
        <f t="shared" si="113"/>
        <v>280</v>
      </c>
      <c r="CZ63" s="76">
        <f t="shared" si="113"/>
        <v>280</v>
      </c>
      <c r="DA63" s="76">
        <f t="shared" ref="DA63:DJ74" si="114">IF(AND(DA$5&gt;=$B63,DA$5&lt;=$C63),$D63,"")</f>
        <v>280</v>
      </c>
      <c r="DB63" s="76">
        <f t="shared" si="114"/>
        <v>280</v>
      </c>
      <c r="DC63" s="76">
        <f t="shared" si="114"/>
        <v>280</v>
      </c>
      <c r="DD63" s="76">
        <f t="shared" si="114"/>
        <v>280</v>
      </c>
      <c r="DE63" s="76">
        <f t="shared" si="114"/>
        <v>280</v>
      </c>
      <c r="DF63" s="76">
        <f t="shared" si="114"/>
        <v>280</v>
      </c>
      <c r="DG63" s="76">
        <f t="shared" si="114"/>
        <v>280</v>
      </c>
      <c r="DH63" s="76">
        <f t="shared" si="114"/>
        <v>280</v>
      </c>
      <c r="DI63" s="76">
        <f t="shared" si="114"/>
        <v>280</v>
      </c>
      <c r="DJ63" s="76">
        <f t="shared" si="114"/>
        <v>280</v>
      </c>
      <c r="DK63" s="76">
        <f t="shared" ref="DK63:DT74" si="115">IF(AND(DK$5&gt;=$B63,DK$5&lt;=$C63),$D63,"")</f>
        <v>280</v>
      </c>
      <c r="DL63" s="76">
        <f t="shared" si="115"/>
        <v>280</v>
      </c>
      <c r="DM63" s="76">
        <f t="shared" si="115"/>
        <v>280</v>
      </c>
      <c r="DN63" s="76">
        <f t="shared" si="115"/>
        <v>280</v>
      </c>
      <c r="DO63" s="76">
        <f t="shared" si="115"/>
        <v>280</v>
      </c>
      <c r="DP63" s="76">
        <f t="shared" si="115"/>
        <v>280</v>
      </c>
      <c r="DQ63" s="76">
        <f t="shared" si="115"/>
        <v>280</v>
      </c>
      <c r="DR63" s="76">
        <f t="shared" si="115"/>
        <v>280</v>
      </c>
      <c r="DS63" s="76">
        <f t="shared" si="115"/>
        <v>280</v>
      </c>
      <c r="DT63" s="76">
        <f t="shared" si="115"/>
        <v>280</v>
      </c>
      <c r="DU63" s="76">
        <f t="shared" ref="DU63:ED74" si="116">IF(AND(DU$5&gt;=$B63,DU$5&lt;=$C63),$D63,"")</f>
        <v>280</v>
      </c>
      <c r="DV63" s="76">
        <f t="shared" si="116"/>
        <v>280</v>
      </c>
      <c r="DW63" s="76">
        <f t="shared" si="116"/>
        <v>280</v>
      </c>
      <c r="DX63" s="76">
        <f t="shared" si="116"/>
        <v>280</v>
      </c>
      <c r="DY63" s="76">
        <f t="shared" si="116"/>
        <v>280</v>
      </c>
      <c r="DZ63" s="76">
        <f t="shared" si="116"/>
        <v>280</v>
      </c>
      <c r="EA63" s="76">
        <f t="shared" si="116"/>
        <v>280</v>
      </c>
      <c r="EB63" s="76">
        <f t="shared" si="116"/>
        <v>280</v>
      </c>
      <c r="EC63" s="76">
        <f t="shared" si="116"/>
        <v>280</v>
      </c>
      <c r="ED63" s="76">
        <f t="shared" si="116"/>
        <v>280</v>
      </c>
      <c r="EE63" s="76">
        <f t="shared" ref="EE63:EN74" si="117">IF(AND(EE$5&gt;=$B63,EE$5&lt;=$C63),$D63,"")</f>
        <v>280</v>
      </c>
      <c r="EF63" s="76">
        <f t="shared" si="117"/>
        <v>280</v>
      </c>
      <c r="EG63" s="76">
        <f t="shared" si="117"/>
        <v>280</v>
      </c>
      <c r="EH63" s="76">
        <f t="shared" si="117"/>
        <v>280</v>
      </c>
      <c r="EI63" s="76">
        <f t="shared" si="117"/>
        <v>280</v>
      </c>
      <c r="EJ63" s="76">
        <f t="shared" si="117"/>
        <v>280</v>
      </c>
      <c r="EK63" s="76">
        <f t="shared" si="117"/>
        <v>280</v>
      </c>
      <c r="EL63" s="76">
        <f t="shared" si="117"/>
        <v>280</v>
      </c>
      <c r="EM63" s="76">
        <f t="shared" si="117"/>
        <v>280</v>
      </c>
      <c r="EN63" s="76">
        <f t="shared" si="117"/>
        <v>280</v>
      </c>
      <c r="EO63" s="76">
        <f t="shared" ref="EO63:EX74" si="118">IF(AND(EO$5&gt;=$B63,EO$5&lt;=$C63),$D63,"")</f>
        <v>280</v>
      </c>
      <c r="EP63" s="76">
        <f t="shared" si="118"/>
        <v>280</v>
      </c>
      <c r="EQ63" s="76">
        <f t="shared" si="118"/>
        <v>280</v>
      </c>
      <c r="ER63" s="76">
        <f t="shared" si="118"/>
        <v>280</v>
      </c>
      <c r="ES63" s="76">
        <f t="shared" si="118"/>
        <v>280</v>
      </c>
      <c r="ET63" s="76">
        <f t="shared" si="118"/>
        <v>280</v>
      </c>
      <c r="EU63" s="76">
        <f t="shared" si="118"/>
        <v>280</v>
      </c>
      <c r="EV63" s="76">
        <f t="shared" si="118"/>
        <v>280</v>
      </c>
      <c r="EW63" s="76">
        <f t="shared" si="118"/>
        <v>280</v>
      </c>
      <c r="EX63" s="76">
        <f t="shared" si="118"/>
        <v>280</v>
      </c>
      <c r="EY63" s="76">
        <f t="shared" ref="EY63:FH74" si="119">IF(AND(EY$5&gt;=$B63,EY$5&lt;=$C63),$D63,"")</f>
        <v>280</v>
      </c>
      <c r="EZ63" s="77">
        <f t="shared" si="119"/>
        <v>280</v>
      </c>
      <c r="FA63" s="77">
        <f t="shared" si="119"/>
        <v>280</v>
      </c>
      <c r="FB63" s="77">
        <f t="shared" si="119"/>
        <v>280</v>
      </c>
      <c r="FC63" s="77">
        <f t="shared" si="119"/>
        <v>280</v>
      </c>
      <c r="FD63" s="77">
        <f t="shared" si="119"/>
        <v>280</v>
      </c>
      <c r="FE63" s="77">
        <f t="shared" si="119"/>
        <v>280</v>
      </c>
      <c r="FF63" s="77">
        <f t="shared" si="119"/>
        <v>280</v>
      </c>
      <c r="FG63" s="74" t="str">
        <f t="shared" si="119"/>
        <v/>
      </c>
      <c r="FH63" s="74" t="str">
        <f t="shared" si="119"/>
        <v/>
      </c>
      <c r="FI63" s="74" t="str">
        <f t="shared" ref="FI63:FR74" si="120">IF(AND(FI$5&gt;=$B63,FI$5&lt;=$C63),$D63,"")</f>
        <v/>
      </c>
      <c r="FJ63" s="74" t="str">
        <f t="shared" si="120"/>
        <v/>
      </c>
      <c r="FK63" s="74" t="str">
        <f t="shared" si="120"/>
        <v/>
      </c>
      <c r="FL63" s="78" t="str">
        <f t="shared" si="120"/>
        <v/>
      </c>
      <c r="FM63" s="78" t="str">
        <f t="shared" si="120"/>
        <v/>
      </c>
      <c r="FN63" s="74" t="str">
        <f t="shared" si="120"/>
        <v/>
      </c>
      <c r="FO63" s="74" t="str">
        <f t="shared" si="120"/>
        <v/>
      </c>
      <c r="FP63" s="74" t="str">
        <f t="shared" si="120"/>
        <v/>
      </c>
      <c r="FQ63" s="74" t="str">
        <f t="shared" si="120"/>
        <v/>
      </c>
      <c r="FR63" s="74" t="str">
        <f t="shared" si="120"/>
        <v/>
      </c>
      <c r="FS63" s="78" t="str">
        <f t="shared" ref="FS63:GB74" si="121">IF(AND(FS$5&gt;=$B63,FS$5&lt;=$C63),$D63,"")</f>
        <v/>
      </c>
      <c r="FT63" s="78" t="str">
        <f t="shared" si="121"/>
        <v/>
      </c>
      <c r="FU63" s="74" t="str">
        <f t="shared" si="121"/>
        <v/>
      </c>
      <c r="FV63" s="74" t="str">
        <f t="shared" si="121"/>
        <v/>
      </c>
      <c r="FW63" s="74" t="str">
        <f t="shared" si="121"/>
        <v/>
      </c>
      <c r="FX63" s="74" t="str">
        <f t="shared" si="121"/>
        <v/>
      </c>
      <c r="FY63" s="74" t="str">
        <f t="shared" si="121"/>
        <v/>
      </c>
      <c r="FZ63" s="78" t="str">
        <f t="shared" si="121"/>
        <v/>
      </c>
      <c r="GA63" s="78" t="str">
        <f t="shared" si="121"/>
        <v/>
      </c>
      <c r="GB63" s="74" t="str">
        <f t="shared" si="121"/>
        <v/>
      </c>
      <c r="GC63" s="74" t="str">
        <f t="shared" ref="GC63:GL74" si="122">IF(AND(GC$5&gt;=$B63,GC$5&lt;=$C63),$D63,"")</f>
        <v/>
      </c>
      <c r="GD63" s="74" t="str">
        <f t="shared" si="122"/>
        <v/>
      </c>
      <c r="GE63" s="74" t="str">
        <f t="shared" si="122"/>
        <v/>
      </c>
      <c r="GF63" s="74" t="str">
        <f t="shared" si="122"/>
        <v/>
      </c>
      <c r="GG63" s="78" t="str">
        <f t="shared" si="122"/>
        <v/>
      </c>
      <c r="GH63" s="78" t="str">
        <f t="shared" si="122"/>
        <v/>
      </c>
      <c r="GI63" s="74" t="str">
        <f t="shared" si="122"/>
        <v/>
      </c>
      <c r="GJ63" s="74" t="str">
        <f t="shared" si="122"/>
        <v/>
      </c>
      <c r="GK63" s="74" t="str">
        <f t="shared" si="122"/>
        <v/>
      </c>
      <c r="GL63" s="74" t="str">
        <f t="shared" si="122"/>
        <v/>
      </c>
      <c r="GM63" s="74" t="str">
        <f t="shared" ref="GM63:GV74" si="123">IF(AND(GM$5&gt;=$B63,GM$5&lt;=$C63),$D63,"")</f>
        <v/>
      </c>
      <c r="GN63" s="78" t="str">
        <f t="shared" si="123"/>
        <v/>
      </c>
      <c r="GO63" s="78" t="str">
        <f t="shared" si="123"/>
        <v/>
      </c>
      <c r="GP63" s="74" t="str">
        <f t="shared" si="123"/>
        <v/>
      </c>
      <c r="GQ63" s="74" t="str">
        <f t="shared" si="123"/>
        <v/>
      </c>
      <c r="GR63" s="74" t="str">
        <f t="shared" si="123"/>
        <v/>
      </c>
      <c r="GS63" s="74" t="str">
        <f t="shared" si="123"/>
        <v/>
      </c>
      <c r="GT63" s="74" t="str">
        <f t="shared" si="123"/>
        <v/>
      </c>
      <c r="GU63" s="78" t="str">
        <f t="shared" si="123"/>
        <v/>
      </c>
      <c r="GV63" s="78" t="str">
        <f t="shared" si="123"/>
        <v/>
      </c>
      <c r="GW63" s="74" t="str">
        <f t="shared" ref="GW63:HH74" si="124">IF(AND(GW$5&gt;=$B63,GW$5&lt;=$C63),$D63,"")</f>
        <v/>
      </c>
      <c r="GX63" s="74" t="str">
        <f t="shared" si="124"/>
        <v/>
      </c>
      <c r="GY63" s="74" t="str">
        <f t="shared" si="124"/>
        <v/>
      </c>
      <c r="GZ63" s="74" t="str">
        <f t="shared" si="124"/>
        <v/>
      </c>
      <c r="HA63" s="74" t="str">
        <f t="shared" si="124"/>
        <v/>
      </c>
      <c r="HB63" s="78" t="str">
        <f t="shared" si="124"/>
        <v/>
      </c>
      <c r="HC63" s="78" t="str">
        <f t="shared" si="124"/>
        <v/>
      </c>
      <c r="HD63" s="74" t="str">
        <f t="shared" si="124"/>
        <v/>
      </c>
      <c r="HE63" s="74" t="str">
        <f t="shared" si="124"/>
        <v/>
      </c>
      <c r="HF63" s="74" t="str">
        <f t="shared" si="124"/>
        <v/>
      </c>
      <c r="HG63" s="74" t="str">
        <f t="shared" si="124"/>
        <v/>
      </c>
      <c r="HH63" s="74" t="str">
        <f t="shared" si="124"/>
        <v/>
      </c>
    </row>
    <row r="64" spans="1:216" x14ac:dyDescent="0.2">
      <c r="A64" s="82" t="str">
        <f>'FY1 Event Pipeline'!A5</f>
        <v>BRED X</v>
      </c>
      <c r="B64" s="83">
        <f>_xlfn.XLOOKUP(A64,'FY1 Event Pipeline'!$A$4:$A$15,'FY1 Event Pipeline'!$H$4:$H$15)</f>
        <v>46318</v>
      </c>
      <c r="C64" s="83">
        <f>_xlfn.XLOOKUP(A64,'FY1 Event Pipeline'!$A$4:$A$15,'FY1 Event Pipeline'!$J$4:$J$15)</f>
        <v>46339</v>
      </c>
      <c r="D64" s="84">
        <f>_xlfn.XLOOKUP(A64,'FY1 Event Pipeline'!$A$4:$A$15,'FY1 Event Pipeline'!$R$4:$R$15)</f>
        <v>0</v>
      </c>
      <c r="E64" s="74" t="str">
        <f t="shared" si="104"/>
        <v/>
      </c>
      <c r="F64" s="74" t="str">
        <f t="shared" si="104"/>
        <v/>
      </c>
      <c r="G64" s="78" t="str">
        <f t="shared" si="104"/>
        <v/>
      </c>
      <c r="H64" s="78" t="str">
        <f t="shared" si="104"/>
        <v/>
      </c>
      <c r="I64" s="74" t="str">
        <f t="shared" si="104"/>
        <v/>
      </c>
      <c r="J64" s="74" t="str">
        <f t="shared" si="104"/>
        <v/>
      </c>
      <c r="K64" s="74" t="str">
        <f t="shared" si="104"/>
        <v/>
      </c>
      <c r="L64" s="74" t="str">
        <f t="shared" si="104"/>
        <v/>
      </c>
      <c r="M64" s="74" t="str">
        <f t="shared" si="104"/>
        <v/>
      </c>
      <c r="N64" s="78" t="str">
        <f t="shared" si="104"/>
        <v/>
      </c>
      <c r="O64" s="78" t="str">
        <f t="shared" si="105"/>
        <v/>
      </c>
      <c r="P64" s="74" t="str">
        <f t="shared" si="105"/>
        <v/>
      </c>
      <c r="Q64" s="74" t="str">
        <f t="shared" si="105"/>
        <v/>
      </c>
      <c r="R64" s="74" t="str">
        <f t="shared" si="105"/>
        <v/>
      </c>
      <c r="S64" s="74" t="str">
        <f t="shared" si="105"/>
        <v/>
      </c>
      <c r="T64" s="74" t="str">
        <f t="shared" si="105"/>
        <v/>
      </c>
      <c r="U64" s="78" t="str">
        <f t="shared" si="105"/>
        <v/>
      </c>
      <c r="V64" s="78" t="str">
        <f t="shared" si="105"/>
        <v/>
      </c>
      <c r="W64" s="74" t="str">
        <f t="shared" si="105"/>
        <v/>
      </c>
      <c r="X64" s="74" t="str">
        <f t="shared" si="105"/>
        <v/>
      </c>
      <c r="Y64" s="74" t="str">
        <f t="shared" si="106"/>
        <v/>
      </c>
      <c r="Z64" s="74" t="str">
        <f t="shared" si="106"/>
        <v/>
      </c>
      <c r="AA64" s="75">
        <f t="shared" si="106"/>
        <v>0</v>
      </c>
      <c r="AB64" s="75">
        <f t="shared" si="106"/>
        <v>0</v>
      </c>
      <c r="AC64" s="75">
        <f t="shared" si="106"/>
        <v>0</v>
      </c>
      <c r="AD64" s="75">
        <f t="shared" si="106"/>
        <v>0</v>
      </c>
      <c r="AE64" s="75">
        <f t="shared" si="106"/>
        <v>0</v>
      </c>
      <c r="AF64" s="75">
        <f t="shared" si="106"/>
        <v>0</v>
      </c>
      <c r="AG64" s="75">
        <f t="shared" si="106"/>
        <v>0</v>
      </c>
      <c r="AH64" s="75">
        <f t="shared" si="106"/>
        <v>0</v>
      </c>
      <c r="AI64" s="75">
        <f t="shared" si="107"/>
        <v>0</v>
      </c>
      <c r="AJ64" s="75">
        <f t="shared" si="107"/>
        <v>0</v>
      </c>
      <c r="AK64" s="75">
        <f t="shared" si="107"/>
        <v>0</v>
      </c>
      <c r="AL64" s="75">
        <f t="shared" si="107"/>
        <v>0</v>
      </c>
      <c r="AM64" s="75">
        <f t="shared" si="107"/>
        <v>0</v>
      </c>
      <c r="AN64" s="75">
        <f t="shared" si="107"/>
        <v>0</v>
      </c>
      <c r="AO64" s="76">
        <f t="shared" si="107"/>
        <v>0</v>
      </c>
      <c r="AP64" s="76">
        <f t="shared" si="107"/>
        <v>0</v>
      </c>
      <c r="AQ64" s="76">
        <f t="shared" si="107"/>
        <v>0</v>
      </c>
      <c r="AR64" s="76">
        <f t="shared" si="107"/>
        <v>0</v>
      </c>
      <c r="AS64" s="76">
        <f t="shared" si="108"/>
        <v>0</v>
      </c>
      <c r="AT64" s="77">
        <f t="shared" si="108"/>
        <v>0</v>
      </c>
      <c r="AU64" s="77">
        <f t="shared" si="108"/>
        <v>0</v>
      </c>
      <c r="AV64" s="77">
        <f t="shared" si="108"/>
        <v>0</v>
      </c>
      <c r="AW64" s="78" t="str">
        <f t="shared" si="108"/>
        <v/>
      </c>
      <c r="AX64" s="78" t="str">
        <f t="shared" si="108"/>
        <v/>
      </c>
      <c r="AY64" s="74" t="str">
        <f t="shared" si="108"/>
        <v/>
      </c>
      <c r="AZ64" s="74" t="str">
        <f t="shared" si="108"/>
        <v/>
      </c>
      <c r="BA64" s="74" t="str">
        <f t="shared" si="108"/>
        <v/>
      </c>
      <c r="BB64" s="74" t="str">
        <f t="shared" si="108"/>
        <v/>
      </c>
      <c r="BC64" s="74" t="str">
        <f t="shared" si="109"/>
        <v/>
      </c>
      <c r="BD64" s="78" t="str">
        <f t="shared" si="109"/>
        <v/>
      </c>
      <c r="BE64" s="78" t="str">
        <f t="shared" si="109"/>
        <v/>
      </c>
      <c r="BF64" s="74" t="str">
        <f t="shared" si="109"/>
        <v/>
      </c>
      <c r="BG64" s="74" t="str">
        <f t="shared" si="109"/>
        <v/>
      </c>
      <c r="BH64" s="74" t="str">
        <f t="shared" si="109"/>
        <v/>
      </c>
      <c r="BI64" s="74" t="str">
        <f t="shared" si="109"/>
        <v/>
      </c>
      <c r="BJ64" s="74" t="str">
        <f t="shared" si="109"/>
        <v/>
      </c>
      <c r="BK64" s="78" t="str">
        <f t="shared" si="109"/>
        <v/>
      </c>
      <c r="BL64" s="78" t="str">
        <f t="shared" si="109"/>
        <v/>
      </c>
      <c r="BM64" s="74" t="str">
        <f t="shared" si="110"/>
        <v/>
      </c>
      <c r="BN64" s="74" t="str">
        <f t="shared" si="110"/>
        <v/>
      </c>
      <c r="BO64" s="74" t="str">
        <f t="shared" si="110"/>
        <v/>
      </c>
      <c r="BP64" s="74" t="str">
        <f t="shared" si="110"/>
        <v/>
      </c>
      <c r="BQ64" s="74" t="str">
        <f t="shared" si="110"/>
        <v/>
      </c>
      <c r="BR64" s="78" t="str">
        <f t="shared" si="110"/>
        <v/>
      </c>
      <c r="BS64" s="78" t="str">
        <f t="shared" si="110"/>
        <v/>
      </c>
      <c r="BT64" s="74" t="str">
        <f t="shared" si="110"/>
        <v/>
      </c>
      <c r="BU64" s="74" t="str">
        <f t="shared" si="110"/>
        <v/>
      </c>
      <c r="BV64" s="74" t="str">
        <f t="shared" si="110"/>
        <v/>
      </c>
      <c r="BW64" s="74" t="str">
        <f t="shared" si="111"/>
        <v/>
      </c>
      <c r="BX64" s="74" t="str">
        <f t="shared" si="111"/>
        <v/>
      </c>
      <c r="BY64" s="78" t="str">
        <f t="shared" si="111"/>
        <v/>
      </c>
      <c r="BZ64" s="78" t="str">
        <f t="shared" si="111"/>
        <v/>
      </c>
      <c r="CA64" s="74" t="str">
        <f t="shared" si="111"/>
        <v/>
      </c>
      <c r="CB64" s="74" t="str">
        <f t="shared" si="111"/>
        <v/>
      </c>
      <c r="CC64" s="74" t="str">
        <f t="shared" si="111"/>
        <v/>
      </c>
      <c r="CD64" s="74" t="str">
        <f t="shared" si="111"/>
        <v/>
      </c>
      <c r="CE64" s="74" t="str">
        <f t="shared" si="111"/>
        <v/>
      </c>
      <c r="CF64" s="78" t="str">
        <f t="shared" si="111"/>
        <v/>
      </c>
      <c r="CG64" s="78" t="str">
        <f t="shared" si="112"/>
        <v/>
      </c>
      <c r="CH64" s="74" t="str">
        <f t="shared" si="112"/>
        <v/>
      </c>
      <c r="CI64" s="74" t="str">
        <f t="shared" si="112"/>
        <v/>
      </c>
      <c r="CJ64" s="74" t="str">
        <f t="shared" si="112"/>
        <v/>
      </c>
      <c r="CK64" s="74" t="str">
        <f t="shared" si="112"/>
        <v/>
      </c>
      <c r="CL64" s="74" t="str">
        <f t="shared" si="112"/>
        <v/>
      </c>
      <c r="CM64" s="78" t="str">
        <f t="shared" si="112"/>
        <v/>
      </c>
      <c r="CN64" s="78" t="str">
        <f t="shared" si="112"/>
        <v/>
      </c>
      <c r="CO64" s="74" t="str">
        <f t="shared" si="112"/>
        <v/>
      </c>
      <c r="CP64" s="74" t="str">
        <f t="shared" si="112"/>
        <v/>
      </c>
      <c r="CQ64" s="74" t="str">
        <f t="shared" si="113"/>
        <v/>
      </c>
      <c r="CR64" s="74" t="str">
        <f t="shared" si="113"/>
        <v/>
      </c>
      <c r="CS64" s="74" t="str">
        <f t="shared" si="113"/>
        <v/>
      </c>
      <c r="CT64" s="78" t="str">
        <f t="shared" si="113"/>
        <v/>
      </c>
      <c r="CU64" s="78" t="str">
        <f t="shared" si="113"/>
        <v/>
      </c>
      <c r="CV64" s="74" t="str">
        <f t="shared" si="113"/>
        <v/>
      </c>
      <c r="CW64" s="74" t="str">
        <f t="shared" si="113"/>
        <v/>
      </c>
      <c r="CX64" s="74" t="str">
        <f t="shared" si="113"/>
        <v/>
      </c>
      <c r="CY64" s="74" t="str">
        <f t="shared" si="113"/>
        <v/>
      </c>
      <c r="CZ64" s="74" t="str">
        <f t="shared" si="113"/>
        <v/>
      </c>
      <c r="DA64" s="78" t="str">
        <f t="shared" si="114"/>
        <v/>
      </c>
      <c r="DB64" s="78" t="str">
        <f t="shared" si="114"/>
        <v/>
      </c>
      <c r="DC64" s="74" t="str">
        <f t="shared" si="114"/>
        <v/>
      </c>
      <c r="DD64" s="74" t="str">
        <f t="shared" si="114"/>
        <v/>
      </c>
      <c r="DE64" s="74" t="str">
        <f t="shared" si="114"/>
        <v/>
      </c>
      <c r="DF64" s="74" t="str">
        <f t="shared" si="114"/>
        <v/>
      </c>
      <c r="DG64" s="74" t="str">
        <f t="shared" si="114"/>
        <v/>
      </c>
      <c r="DH64" s="78" t="str">
        <f t="shared" si="114"/>
        <v/>
      </c>
      <c r="DI64" s="78" t="str">
        <f t="shared" si="114"/>
        <v/>
      </c>
      <c r="DJ64" s="74" t="str">
        <f t="shared" si="114"/>
        <v/>
      </c>
      <c r="DK64" s="74" t="str">
        <f t="shared" si="115"/>
        <v/>
      </c>
      <c r="DL64" s="74" t="str">
        <f t="shared" si="115"/>
        <v/>
      </c>
      <c r="DM64" s="74" t="str">
        <f t="shared" si="115"/>
        <v/>
      </c>
      <c r="DN64" s="74" t="str">
        <f t="shared" si="115"/>
        <v/>
      </c>
      <c r="DO64" s="78" t="str">
        <f t="shared" si="115"/>
        <v/>
      </c>
      <c r="DP64" s="78" t="str">
        <f t="shared" si="115"/>
        <v/>
      </c>
      <c r="DQ64" s="74" t="str">
        <f t="shared" si="115"/>
        <v/>
      </c>
      <c r="DR64" s="74" t="str">
        <f t="shared" si="115"/>
        <v/>
      </c>
      <c r="DS64" s="74" t="str">
        <f t="shared" si="115"/>
        <v/>
      </c>
      <c r="DT64" s="74" t="str">
        <f t="shared" si="115"/>
        <v/>
      </c>
      <c r="DU64" s="74" t="str">
        <f t="shared" si="116"/>
        <v/>
      </c>
      <c r="DV64" s="78" t="str">
        <f t="shared" si="116"/>
        <v/>
      </c>
      <c r="DW64" s="78" t="str">
        <f t="shared" si="116"/>
        <v/>
      </c>
      <c r="DX64" s="74" t="str">
        <f t="shared" si="116"/>
        <v/>
      </c>
      <c r="DY64" s="74" t="str">
        <f t="shared" si="116"/>
        <v/>
      </c>
      <c r="DZ64" s="74" t="str">
        <f t="shared" si="116"/>
        <v/>
      </c>
      <c r="EA64" s="74" t="str">
        <f t="shared" si="116"/>
        <v/>
      </c>
      <c r="EB64" s="74" t="str">
        <f t="shared" si="116"/>
        <v/>
      </c>
      <c r="EC64" s="78" t="str">
        <f t="shared" si="116"/>
        <v/>
      </c>
      <c r="ED64" s="78" t="str">
        <f t="shared" si="116"/>
        <v/>
      </c>
      <c r="EE64" s="74" t="str">
        <f t="shared" si="117"/>
        <v/>
      </c>
      <c r="EF64" s="74" t="str">
        <f t="shared" si="117"/>
        <v/>
      </c>
      <c r="EG64" s="74" t="str">
        <f t="shared" si="117"/>
        <v/>
      </c>
      <c r="EH64" s="74" t="str">
        <f t="shared" si="117"/>
        <v/>
      </c>
      <c r="EI64" s="74" t="str">
        <f t="shared" si="117"/>
        <v/>
      </c>
      <c r="EJ64" s="78" t="str">
        <f t="shared" si="117"/>
        <v/>
      </c>
      <c r="EK64" s="78" t="str">
        <f t="shared" si="117"/>
        <v/>
      </c>
      <c r="EL64" s="74" t="str">
        <f t="shared" si="117"/>
        <v/>
      </c>
      <c r="EM64" s="74" t="str">
        <f t="shared" si="117"/>
        <v/>
      </c>
      <c r="EN64" s="74" t="str">
        <f t="shared" si="117"/>
        <v/>
      </c>
      <c r="EO64" s="74" t="str">
        <f t="shared" si="118"/>
        <v/>
      </c>
      <c r="EP64" s="74" t="str">
        <f t="shared" si="118"/>
        <v/>
      </c>
      <c r="EQ64" s="78" t="str">
        <f t="shared" si="118"/>
        <v/>
      </c>
      <c r="ER64" s="78" t="str">
        <f t="shared" si="118"/>
        <v/>
      </c>
      <c r="ES64" s="74" t="str">
        <f t="shared" si="118"/>
        <v/>
      </c>
      <c r="ET64" s="74" t="str">
        <f t="shared" si="118"/>
        <v/>
      </c>
      <c r="EU64" s="74" t="str">
        <f t="shared" si="118"/>
        <v/>
      </c>
      <c r="EV64" s="74" t="str">
        <f t="shared" si="118"/>
        <v/>
      </c>
      <c r="EW64" s="74" t="str">
        <f t="shared" si="118"/>
        <v/>
      </c>
      <c r="EX64" s="78" t="str">
        <f t="shared" si="118"/>
        <v/>
      </c>
      <c r="EY64" s="78" t="str">
        <f t="shared" si="119"/>
        <v/>
      </c>
      <c r="EZ64" s="74" t="str">
        <f t="shared" si="119"/>
        <v/>
      </c>
      <c r="FA64" s="74" t="str">
        <f t="shared" si="119"/>
        <v/>
      </c>
      <c r="FB64" s="74" t="str">
        <f t="shared" si="119"/>
        <v/>
      </c>
      <c r="FC64" s="74" t="str">
        <f t="shared" si="119"/>
        <v/>
      </c>
      <c r="FD64" s="74" t="str">
        <f t="shared" si="119"/>
        <v/>
      </c>
      <c r="FE64" s="78" t="str">
        <f t="shared" si="119"/>
        <v/>
      </c>
      <c r="FF64" s="78" t="str">
        <f t="shared" si="119"/>
        <v/>
      </c>
      <c r="FG64" s="74" t="str">
        <f t="shared" si="119"/>
        <v/>
      </c>
      <c r="FH64" s="74" t="str">
        <f t="shared" si="119"/>
        <v/>
      </c>
      <c r="FI64" s="74" t="str">
        <f t="shared" si="120"/>
        <v/>
      </c>
      <c r="FJ64" s="74" t="str">
        <f t="shared" si="120"/>
        <v/>
      </c>
      <c r="FK64" s="74" t="str">
        <f t="shared" si="120"/>
        <v/>
      </c>
      <c r="FL64" s="78" t="str">
        <f t="shared" si="120"/>
        <v/>
      </c>
      <c r="FM64" s="78" t="str">
        <f t="shared" si="120"/>
        <v/>
      </c>
      <c r="FN64" s="74" t="str">
        <f t="shared" si="120"/>
        <v/>
      </c>
      <c r="FO64" s="74" t="str">
        <f t="shared" si="120"/>
        <v/>
      </c>
      <c r="FP64" s="74" t="str">
        <f t="shared" si="120"/>
        <v/>
      </c>
      <c r="FQ64" s="74" t="str">
        <f t="shared" si="120"/>
        <v/>
      </c>
      <c r="FR64" s="74" t="str">
        <f t="shared" si="120"/>
        <v/>
      </c>
      <c r="FS64" s="78" t="str">
        <f t="shared" si="121"/>
        <v/>
      </c>
      <c r="FT64" s="78" t="str">
        <f t="shared" si="121"/>
        <v/>
      </c>
      <c r="FU64" s="74" t="str">
        <f t="shared" si="121"/>
        <v/>
      </c>
      <c r="FV64" s="74" t="str">
        <f t="shared" si="121"/>
        <v/>
      </c>
      <c r="FW64" s="74" t="str">
        <f t="shared" si="121"/>
        <v/>
      </c>
      <c r="FX64" s="74" t="str">
        <f t="shared" si="121"/>
        <v/>
      </c>
      <c r="FY64" s="74" t="str">
        <f t="shared" si="121"/>
        <v/>
      </c>
      <c r="FZ64" s="78" t="str">
        <f t="shared" si="121"/>
        <v/>
      </c>
      <c r="GA64" s="78" t="str">
        <f t="shared" si="121"/>
        <v/>
      </c>
      <c r="GB64" s="74" t="str">
        <f t="shared" si="121"/>
        <v/>
      </c>
      <c r="GC64" s="74" t="str">
        <f t="shared" si="122"/>
        <v/>
      </c>
      <c r="GD64" s="74" t="str">
        <f t="shared" si="122"/>
        <v/>
      </c>
      <c r="GE64" s="74" t="str">
        <f t="shared" si="122"/>
        <v/>
      </c>
      <c r="GF64" s="74" t="str">
        <f t="shared" si="122"/>
        <v/>
      </c>
      <c r="GG64" s="78" t="str">
        <f t="shared" si="122"/>
        <v/>
      </c>
      <c r="GH64" s="78" t="str">
        <f t="shared" si="122"/>
        <v/>
      </c>
      <c r="GI64" s="74" t="str">
        <f t="shared" si="122"/>
        <v/>
      </c>
      <c r="GJ64" s="74" t="str">
        <f t="shared" si="122"/>
        <v/>
      </c>
      <c r="GK64" s="74" t="str">
        <f t="shared" si="122"/>
        <v/>
      </c>
      <c r="GL64" s="74" t="str">
        <f t="shared" si="122"/>
        <v/>
      </c>
      <c r="GM64" s="74" t="str">
        <f t="shared" si="123"/>
        <v/>
      </c>
      <c r="GN64" s="78" t="str">
        <f t="shared" si="123"/>
        <v/>
      </c>
      <c r="GO64" s="78" t="str">
        <f t="shared" si="123"/>
        <v/>
      </c>
      <c r="GP64" s="74" t="str">
        <f t="shared" si="123"/>
        <v/>
      </c>
      <c r="GQ64" s="74" t="str">
        <f t="shared" si="123"/>
        <v/>
      </c>
      <c r="GR64" s="74" t="str">
        <f t="shared" si="123"/>
        <v/>
      </c>
      <c r="GS64" s="74" t="str">
        <f t="shared" si="123"/>
        <v/>
      </c>
      <c r="GT64" s="74" t="str">
        <f t="shared" si="123"/>
        <v/>
      </c>
      <c r="GU64" s="78" t="str">
        <f t="shared" si="123"/>
        <v/>
      </c>
      <c r="GV64" s="78" t="str">
        <f t="shared" si="123"/>
        <v/>
      </c>
      <c r="GW64" s="74" t="str">
        <f t="shared" si="124"/>
        <v/>
      </c>
      <c r="GX64" s="74" t="str">
        <f t="shared" si="124"/>
        <v/>
      </c>
      <c r="GY64" s="74" t="str">
        <f t="shared" si="124"/>
        <v/>
      </c>
      <c r="GZ64" s="74" t="str">
        <f t="shared" si="124"/>
        <v/>
      </c>
      <c r="HA64" s="74" t="str">
        <f t="shared" si="124"/>
        <v/>
      </c>
      <c r="HB64" s="78" t="str">
        <f t="shared" si="124"/>
        <v/>
      </c>
      <c r="HC64" s="78" t="str">
        <f t="shared" si="124"/>
        <v/>
      </c>
      <c r="HD64" s="74" t="str">
        <f t="shared" si="124"/>
        <v/>
      </c>
      <c r="HE64" s="74" t="str">
        <f t="shared" si="124"/>
        <v/>
      </c>
      <c r="HF64" s="74" t="str">
        <f t="shared" si="124"/>
        <v/>
      </c>
      <c r="HG64" s="74" t="str">
        <f t="shared" si="124"/>
        <v/>
      </c>
      <c r="HH64" s="74" t="str">
        <f t="shared" si="124"/>
        <v/>
      </c>
    </row>
    <row r="65" spans="1:216" x14ac:dyDescent="0.2">
      <c r="A65" s="82" t="str">
        <f>'FY1 Event Pipeline'!A6</f>
        <v>MOTN DHA</v>
      </c>
      <c r="B65" s="83">
        <f>_xlfn.XLOOKUP(A65,'FY1 Event Pipeline'!$A$4:$A$15,'FY1 Event Pipeline'!$H$4:$H$15)</f>
        <v>46330</v>
      </c>
      <c r="C65" s="83">
        <f>_xlfn.XLOOKUP(A65,'FY1 Event Pipeline'!$A$4:$A$15,'FY1 Event Pipeline'!$J$4:$J$15)</f>
        <v>46352</v>
      </c>
      <c r="D65" s="84">
        <f>_xlfn.XLOOKUP(A65,'FY1 Event Pipeline'!$A$4:$A$15,'FY1 Event Pipeline'!$R$4:$R$15)</f>
        <v>0</v>
      </c>
      <c r="E65" s="74" t="str">
        <f t="shared" si="104"/>
        <v/>
      </c>
      <c r="F65" s="74" t="str">
        <f t="shared" si="104"/>
        <v/>
      </c>
      <c r="G65" s="78" t="str">
        <f t="shared" si="104"/>
        <v/>
      </c>
      <c r="H65" s="78" t="str">
        <f t="shared" si="104"/>
        <v/>
      </c>
      <c r="I65" s="74" t="str">
        <f t="shared" si="104"/>
        <v/>
      </c>
      <c r="J65" s="74" t="str">
        <f t="shared" si="104"/>
        <v/>
      </c>
      <c r="K65" s="74" t="str">
        <f t="shared" si="104"/>
        <v/>
      </c>
      <c r="L65" s="74" t="str">
        <f t="shared" si="104"/>
        <v/>
      </c>
      <c r="M65" s="74" t="str">
        <f t="shared" si="104"/>
        <v/>
      </c>
      <c r="N65" s="78" t="str">
        <f t="shared" si="104"/>
        <v/>
      </c>
      <c r="O65" s="78" t="str">
        <f t="shared" si="105"/>
        <v/>
      </c>
      <c r="P65" s="74" t="str">
        <f t="shared" si="105"/>
        <v/>
      </c>
      <c r="Q65" s="74" t="str">
        <f t="shared" si="105"/>
        <v/>
      </c>
      <c r="R65" s="74" t="str">
        <f t="shared" si="105"/>
        <v/>
      </c>
      <c r="S65" s="74" t="str">
        <f t="shared" si="105"/>
        <v/>
      </c>
      <c r="T65" s="74" t="str">
        <f t="shared" si="105"/>
        <v/>
      </c>
      <c r="U65" s="78" t="str">
        <f t="shared" si="105"/>
        <v/>
      </c>
      <c r="V65" s="78" t="str">
        <f t="shared" si="105"/>
        <v/>
      </c>
      <c r="W65" s="74" t="str">
        <f t="shared" si="105"/>
        <v/>
      </c>
      <c r="X65" s="74" t="str">
        <f t="shared" si="105"/>
        <v/>
      </c>
      <c r="Y65" s="74" t="str">
        <f t="shared" si="106"/>
        <v/>
      </c>
      <c r="Z65" s="74" t="str">
        <f t="shared" si="106"/>
        <v/>
      </c>
      <c r="AA65" s="74" t="str">
        <f t="shared" si="106"/>
        <v/>
      </c>
      <c r="AB65" s="78" t="str">
        <f t="shared" si="106"/>
        <v/>
      </c>
      <c r="AC65" s="78" t="str">
        <f t="shared" si="106"/>
        <v/>
      </c>
      <c r="AD65" s="74" t="str">
        <f t="shared" si="106"/>
        <v/>
      </c>
      <c r="AE65" s="74" t="str">
        <f t="shared" si="106"/>
        <v/>
      </c>
      <c r="AF65" s="74" t="str">
        <f t="shared" si="106"/>
        <v/>
      </c>
      <c r="AG65" s="74" t="str">
        <f t="shared" si="106"/>
        <v/>
      </c>
      <c r="AH65" s="74" t="str">
        <f t="shared" si="106"/>
        <v/>
      </c>
      <c r="AI65" s="78" t="str">
        <f t="shared" si="107"/>
        <v/>
      </c>
      <c r="AJ65" s="78" t="str">
        <f t="shared" si="107"/>
        <v/>
      </c>
      <c r="AK65" s="74" t="str">
        <f t="shared" si="107"/>
        <v/>
      </c>
      <c r="AL65" s="74" t="str">
        <f t="shared" si="107"/>
        <v/>
      </c>
      <c r="AM65" s="75">
        <f t="shared" si="107"/>
        <v>0</v>
      </c>
      <c r="AN65" s="75">
        <f t="shared" si="107"/>
        <v>0</v>
      </c>
      <c r="AO65" s="75">
        <f t="shared" si="107"/>
        <v>0</v>
      </c>
      <c r="AP65" s="75">
        <f t="shared" si="107"/>
        <v>0</v>
      </c>
      <c r="AQ65" s="75">
        <f t="shared" si="107"/>
        <v>0</v>
      </c>
      <c r="AR65" s="75">
        <f t="shared" si="107"/>
        <v>0</v>
      </c>
      <c r="AS65" s="75">
        <f t="shared" si="108"/>
        <v>0</v>
      </c>
      <c r="AT65" s="75">
        <f t="shared" si="108"/>
        <v>0</v>
      </c>
      <c r="AU65" s="75">
        <f t="shared" si="108"/>
        <v>0</v>
      </c>
      <c r="AV65" s="75">
        <f t="shared" si="108"/>
        <v>0</v>
      </c>
      <c r="AW65" s="75">
        <f t="shared" si="108"/>
        <v>0</v>
      </c>
      <c r="AX65" s="75">
        <f t="shared" si="108"/>
        <v>0</v>
      </c>
      <c r="AY65" s="75">
        <f t="shared" si="108"/>
        <v>0</v>
      </c>
      <c r="AZ65" s="75">
        <f t="shared" si="108"/>
        <v>0</v>
      </c>
      <c r="BA65" s="76">
        <f t="shared" si="108"/>
        <v>0</v>
      </c>
      <c r="BB65" s="76">
        <f t="shared" si="108"/>
        <v>0</v>
      </c>
      <c r="BC65" s="76">
        <f t="shared" si="109"/>
        <v>0</v>
      </c>
      <c r="BD65" s="76">
        <f t="shared" si="109"/>
        <v>0</v>
      </c>
      <c r="BE65" s="76">
        <f t="shared" si="109"/>
        <v>0</v>
      </c>
      <c r="BF65" s="76">
        <f t="shared" si="109"/>
        <v>0</v>
      </c>
      <c r="BG65" s="77">
        <f t="shared" si="109"/>
        <v>0</v>
      </c>
      <c r="BH65" s="77">
        <f t="shared" si="109"/>
        <v>0</v>
      </c>
      <c r="BI65" s="77">
        <f t="shared" si="109"/>
        <v>0</v>
      </c>
      <c r="BJ65" s="74" t="str">
        <f t="shared" si="109"/>
        <v/>
      </c>
      <c r="BK65" s="78" t="str">
        <f t="shared" si="109"/>
        <v/>
      </c>
      <c r="BL65" s="78" t="str">
        <f t="shared" si="109"/>
        <v/>
      </c>
      <c r="BM65" s="74" t="str">
        <f t="shared" si="110"/>
        <v/>
      </c>
      <c r="BN65" s="74" t="str">
        <f t="shared" si="110"/>
        <v/>
      </c>
      <c r="BO65" s="74" t="str">
        <f t="shared" si="110"/>
        <v/>
      </c>
      <c r="BP65" s="74" t="str">
        <f t="shared" si="110"/>
        <v/>
      </c>
      <c r="BQ65" s="74" t="str">
        <f t="shared" si="110"/>
        <v/>
      </c>
      <c r="BR65" s="78" t="str">
        <f t="shared" si="110"/>
        <v/>
      </c>
      <c r="BS65" s="78" t="str">
        <f t="shared" si="110"/>
        <v/>
      </c>
      <c r="BT65" s="74" t="str">
        <f t="shared" si="110"/>
        <v/>
      </c>
      <c r="BU65" s="74" t="str">
        <f t="shared" si="110"/>
        <v/>
      </c>
      <c r="BV65" s="74" t="str">
        <f t="shared" si="110"/>
        <v/>
      </c>
      <c r="BW65" s="74" t="str">
        <f t="shared" si="111"/>
        <v/>
      </c>
      <c r="BX65" s="74" t="str">
        <f t="shared" si="111"/>
        <v/>
      </c>
      <c r="BY65" s="78" t="str">
        <f t="shared" si="111"/>
        <v/>
      </c>
      <c r="BZ65" s="78" t="str">
        <f t="shared" si="111"/>
        <v/>
      </c>
      <c r="CA65" s="74" t="str">
        <f t="shared" si="111"/>
        <v/>
      </c>
      <c r="CB65" s="74" t="str">
        <f t="shared" si="111"/>
        <v/>
      </c>
      <c r="CC65" s="74" t="str">
        <f t="shared" si="111"/>
        <v/>
      </c>
      <c r="CD65" s="74" t="str">
        <f t="shared" si="111"/>
        <v/>
      </c>
      <c r="CE65" s="74" t="str">
        <f t="shared" si="111"/>
        <v/>
      </c>
      <c r="CF65" s="78" t="str">
        <f t="shared" si="111"/>
        <v/>
      </c>
      <c r="CG65" s="78" t="str">
        <f t="shared" si="112"/>
        <v/>
      </c>
      <c r="CH65" s="74" t="str">
        <f t="shared" si="112"/>
        <v/>
      </c>
      <c r="CI65" s="74" t="str">
        <f t="shared" si="112"/>
        <v/>
      </c>
      <c r="CJ65" s="74" t="str">
        <f t="shared" si="112"/>
        <v/>
      </c>
      <c r="CK65" s="74" t="str">
        <f t="shared" si="112"/>
        <v/>
      </c>
      <c r="CL65" s="74" t="str">
        <f t="shared" si="112"/>
        <v/>
      </c>
      <c r="CM65" s="78" t="str">
        <f t="shared" si="112"/>
        <v/>
      </c>
      <c r="CN65" s="78" t="str">
        <f t="shared" si="112"/>
        <v/>
      </c>
      <c r="CO65" s="74" t="str">
        <f t="shared" si="112"/>
        <v/>
      </c>
      <c r="CP65" s="74" t="str">
        <f t="shared" si="112"/>
        <v/>
      </c>
      <c r="CQ65" s="74" t="str">
        <f t="shared" si="113"/>
        <v/>
      </c>
      <c r="CR65" s="74" t="str">
        <f t="shared" si="113"/>
        <v/>
      </c>
      <c r="CS65" s="74" t="str">
        <f t="shared" si="113"/>
        <v/>
      </c>
      <c r="CT65" s="78" t="str">
        <f t="shared" si="113"/>
        <v/>
      </c>
      <c r="CU65" s="78" t="str">
        <f t="shared" si="113"/>
        <v/>
      </c>
      <c r="CV65" s="74" t="str">
        <f t="shared" si="113"/>
        <v/>
      </c>
      <c r="CW65" s="74" t="str">
        <f t="shared" si="113"/>
        <v/>
      </c>
      <c r="CX65" s="74" t="str">
        <f t="shared" si="113"/>
        <v/>
      </c>
      <c r="CY65" s="74" t="str">
        <f t="shared" si="113"/>
        <v/>
      </c>
      <c r="CZ65" s="74" t="str">
        <f t="shared" si="113"/>
        <v/>
      </c>
      <c r="DA65" s="78" t="str">
        <f t="shared" si="114"/>
        <v/>
      </c>
      <c r="DB65" s="78" t="str">
        <f t="shared" si="114"/>
        <v/>
      </c>
      <c r="DC65" s="74" t="str">
        <f t="shared" si="114"/>
        <v/>
      </c>
      <c r="DD65" s="74" t="str">
        <f t="shared" si="114"/>
        <v/>
      </c>
      <c r="DE65" s="74" t="str">
        <f t="shared" si="114"/>
        <v/>
      </c>
      <c r="DF65" s="74" t="str">
        <f t="shared" si="114"/>
        <v/>
      </c>
      <c r="DG65" s="74" t="str">
        <f t="shared" si="114"/>
        <v/>
      </c>
      <c r="DH65" s="78" t="str">
        <f t="shared" si="114"/>
        <v/>
      </c>
      <c r="DI65" s="78" t="str">
        <f t="shared" si="114"/>
        <v/>
      </c>
      <c r="DJ65" s="74" t="str">
        <f t="shared" si="114"/>
        <v/>
      </c>
      <c r="DK65" s="74" t="str">
        <f t="shared" si="115"/>
        <v/>
      </c>
      <c r="DL65" s="74" t="str">
        <f t="shared" si="115"/>
        <v/>
      </c>
      <c r="DM65" s="74" t="str">
        <f t="shared" si="115"/>
        <v/>
      </c>
      <c r="DN65" s="74" t="str">
        <f t="shared" si="115"/>
        <v/>
      </c>
      <c r="DO65" s="78" t="str">
        <f t="shared" si="115"/>
        <v/>
      </c>
      <c r="DP65" s="78" t="str">
        <f t="shared" si="115"/>
        <v/>
      </c>
      <c r="DQ65" s="74" t="str">
        <f t="shared" si="115"/>
        <v/>
      </c>
      <c r="DR65" s="74" t="str">
        <f t="shared" si="115"/>
        <v/>
      </c>
      <c r="DS65" s="74" t="str">
        <f t="shared" si="115"/>
        <v/>
      </c>
      <c r="DT65" s="74" t="str">
        <f t="shared" si="115"/>
        <v/>
      </c>
      <c r="DU65" s="74" t="str">
        <f t="shared" si="116"/>
        <v/>
      </c>
      <c r="DV65" s="78" t="str">
        <f t="shared" si="116"/>
        <v/>
      </c>
      <c r="DW65" s="78" t="str">
        <f t="shared" si="116"/>
        <v/>
      </c>
      <c r="DX65" s="74" t="str">
        <f t="shared" si="116"/>
        <v/>
      </c>
      <c r="DY65" s="74" t="str">
        <f t="shared" si="116"/>
        <v/>
      </c>
      <c r="DZ65" s="74" t="str">
        <f t="shared" si="116"/>
        <v/>
      </c>
      <c r="EA65" s="74" t="str">
        <f t="shared" si="116"/>
        <v/>
      </c>
      <c r="EB65" s="74" t="str">
        <f t="shared" si="116"/>
        <v/>
      </c>
      <c r="EC65" s="78" t="str">
        <f t="shared" si="116"/>
        <v/>
      </c>
      <c r="ED65" s="78" t="str">
        <f t="shared" si="116"/>
        <v/>
      </c>
      <c r="EE65" s="74" t="str">
        <f t="shared" si="117"/>
        <v/>
      </c>
      <c r="EF65" s="74" t="str">
        <f t="shared" si="117"/>
        <v/>
      </c>
      <c r="EG65" s="74" t="str">
        <f t="shared" si="117"/>
        <v/>
      </c>
      <c r="EH65" s="74" t="str">
        <f t="shared" si="117"/>
        <v/>
      </c>
      <c r="EI65" s="74" t="str">
        <f t="shared" si="117"/>
        <v/>
      </c>
      <c r="EJ65" s="78" t="str">
        <f t="shared" si="117"/>
        <v/>
      </c>
      <c r="EK65" s="78" t="str">
        <f t="shared" si="117"/>
        <v/>
      </c>
      <c r="EL65" s="74" t="str">
        <f t="shared" si="117"/>
        <v/>
      </c>
      <c r="EM65" s="74" t="str">
        <f t="shared" si="117"/>
        <v/>
      </c>
      <c r="EN65" s="74" t="str">
        <f t="shared" si="117"/>
        <v/>
      </c>
      <c r="EO65" s="74" t="str">
        <f t="shared" si="118"/>
        <v/>
      </c>
      <c r="EP65" s="74" t="str">
        <f t="shared" si="118"/>
        <v/>
      </c>
      <c r="EQ65" s="78" t="str">
        <f t="shared" si="118"/>
        <v/>
      </c>
      <c r="ER65" s="78" t="str">
        <f t="shared" si="118"/>
        <v/>
      </c>
      <c r="ES65" s="74" t="str">
        <f t="shared" si="118"/>
        <v/>
      </c>
      <c r="ET65" s="74" t="str">
        <f t="shared" si="118"/>
        <v/>
      </c>
      <c r="EU65" s="74" t="str">
        <f t="shared" si="118"/>
        <v/>
      </c>
      <c r="EV65" s="74" t="str">
        <f t="shared" si="118"/>
        <v/>
      </c>
      <c r="EW65" s="74" t="str">
        <f t="shared" si="118"/>
        <v/>
      </c>
      <c r="EX65" s="78" t="str">
        <f t="shared" si="118"/>
        <v/>
      </c>
      <c r="EY65" s="78" t="str">
        <f t="shared" si="119"/>
        <v/>
      </c>
      <c r="EZ65" s="74" t="str">
        <f t="shared" si="119"/>
        <v/>
      </c>
      <c r="FA65" s="74" t="str">
        <f t="shared" si="119"/>
        <v/>
      </c>
      <c r="FB65" s="74" t="str">
        <f t="shared" si="119"/>
        <v/>
      </c>
      <c r="FC65" s="74" t="str">
        <f t="shared" si="119"/>
        <v/>
      </c>
      <c r="FD65" s="74" t="str">
        <f t="shared" si="119"/>
        <v/>
      </c>
      <c r="FE65" s="78" t="str">
        <f t="shared" si="119"/>
        <v/>
      </c>
      <c r="FF65" s="78" t="str">
        <f t="shared" si="119"/>
        <v/>
      </c>
      <c r="FG65" s="74" t="str">
        <f t="shared" si="119"/>
        <v/>
      </c>
      <c r="FH65" s="74" t="str">
        <f t="shared" si="119"/>
        <v/>
      </c>
      <c r="FI65" s="74" t="str">
        <f t="shared" si="120"/>
        <v/>
      </c>
      <c r="FJ65" s="74" t="str">
        <f t="shared" si="120"/>
        <v/>
      </c>
      <c r="FK65" s="74" t="str">
        <f t="shared" si="120"/>
        <v/>
      </c>
      <c r="FL65" s="78" t="str">
        <f t="shared" si="120"/>
        <v/>
      </c>
      <c r="FM65" s="78" t="str">
        <f t="shared" si="120"/>
        <v/>
      </c>
      <c r="FN65" s="74" t="str">
        <f t="shared" si="120"/>
        <v/>
      </c>
      <c r="FO65" s="74" t="str">
        <f t="shared" si="120"/>
        <v/>
      </c>
      <c r="FP65" s="74" t="str">
        <f t="shared" si="120"/>
        <v/>
      </c>
      <c r="FQ65" s="74" t="str">
        <f t="shared" si="120"/>
        <v/>
      </c>
      <c r="FR65" s="74" t="str">
        <f t="shared" si="120"/>
        <v/>
      </c>
      <c r="FS65" s="78" t="str">
        <f t="shared" si="121"/>
        <v/>
      </c>
      <c r="FT65" s="78" t="str">
        <f t="shared" si="121"/>
        <v/>
      </c>
      <c r="FU65" s="74" t="str">
        <f t="shared" si="121"/>
        <v/>
      </c>
      <c r="FV65" s="74" t="str">
        <f t="shared" si="121"/>
        <v/>
      </c>
      <c r="FW65" s="74" t="str">
        <f t="shared" si="121"/>
        <v/>
      </c>
      <c r="FX65" s="74" t="str">
        <f t="shared" si="121"/>
        <v/>
      </c>
      <c r="FY65" s="74" t="str">
        <f t="shared" si="121"/>
        <v/>
      </c>
      <c r="FZ65" s="78" t="str">
        <f t="shared" si="121"/>
        <v/>
      </c>
      <c r="GA65" s="78" t="str">
        <f t="shared" si="121"/>
        <v/>
      </c>
      <c r="GB65" s="74" t="str">
        <f t="shared" si="121"/>
        <v/>
      </c>
      <c r="GC65" s="74" t="str">
        <f t="shared" si="122"/>
        <v/>
      </c>
      <c r="GD65" s="74" t="str">
        <f t="shared" si="122"/>
        <v/>
      </c>
      <c r="GE65" s="74" t="str">
        <f t="shared" si="122"/>
        <v/>
      </c>
      <c r="GF65" s="74" t="str">
        <f t="shared" si="122"/>
        <v/>
      </c>
      <c r="GG65" s="78" t="str">
        <f t="shared" si="122"/>
        <v/>
      </c>
      <c r="GH65" s="78" t="str">
        <f t="shared" si="122"/>
        <v/>
      </c>
      <c r="GI65" s="74" t="str">
        <f t="shared" si="122"/>
        <v/>
      </c>
      <c r="GJ65" s="74" t="str">
        <f t="shared" si="122"/>
        <v/>
      </c>
      <c r="GK65" s="74" t="str">
        <f t="shared" si="122"/>
        <v/>
      </c>
      <c r="GL65" s="74" t="str">
        <f t="shared" si="122"/>
        <v/>
      </c>
      <c r="GM65" s="74" t="str">
        <f t="shared" si="123"/>
        <v/>
      </c>
      <c r="GN65" s="78" t="str">
        <f t="shared" si="123"/>
        <v/>
      </c>
      <c r="GO65" s="78" t="str">
        <f t="shared" si="123"/>
        <v/>
      </c>
      <c r="GP65" s="74" t="str">
        <f t="shared" si="123"/>
        <v/>
      </c>
      <c r="GQ65" s="74" t="str">
        <f t="shared" si="123"/>
        <v/>
      </c>
      <c r="GR65" s="74" t="str">
        <f t="shared" si="123"/>
        <v/>
      </c>
      <c r="GS65" s="74" t="str">
        <f t="shared" si="123"/>
        <v/>
      </c>
      <c r="GT65" s="74" t="str">
        <f t="shared" si="123"/>
        <v/>
      </c>
      <c r="GU65" s="78" t="str">
        <f t="shared" si="123"/>
        <v/>
      </c>
      <c r="GV65" s="78" t="str">
        <f t="shared" si="123"/>
        <v/>
      </c>
      <c r="GW65" s="74" t="str">
        <f t="shared" si="124"/>
        <v/>
      </c>
      <c r="GX65" s="74" t="str">
        <f t="shared" si="124"/>
        <v/>
      </c>
      <c r="GY65" s="74" t="str">
        <f t="shared" si="124"/>
        <v/>
      </c>
      <c r="GZ65" s="74" t="str">
        <f t="shared" si="124"/>
        <v/>
      </c>
      <c r="HA65" s="74" t="str">
        <f t="shared" si="124"/>
        <v/>
      </c>
      <c r="HB65" s="78" t="str">
        <f t="shared" si="124"/>
        <v/>
      </c>
      <c r="HC65" s="78" t="str">
        <f t="shared" si="124"/>
        <v/>
      </c>
      <c r="HD65" s="74" t="str">
        <f t="shared" si="124"/>
        <v/>
      </c>
      <c r="HE65" s="74" t="str">
        <f t="shared" si="124"/>
        <v/>
      </c>
      <c r="HF65" s="74" t="str">
        <f t="shared" si="124"/>
        <v/>
      </c>
      <c r="HG65" s="74" t="str">
        <f t="shared" si="124"/>
        <v/>
      </c>
      <c r="HH65" s="74" t="str">
        <f t="shared" si="124"/>
        <v/>
      </c>
    </row>
    <row r="66" spans="1:216" x14ac:dyDescent="0.2">
      <c r="A66" s="82" t="str">
        <f>'FY1 Event Pipeline'!A7</f>
        <v>No Art UAE</v>
      </c>
      <c r="B66" s="83">
        <f>_xlfn.XLOOKUP(A66,'FY1 Event Pipeline'!$A$4:$A$15,'FY1 Event Pipeline'!$H$4:$H$15)</f>
        <v>46332</v>
      </c>
      <c r="C66" s="83">
        <f>_xlfn.XLOOKUP(A66,'FY1 Event Pipeline'!$A$4:$A$15,'FY1 Event Pipeline'!$J$4:$J$15)</f>
        <v>46353</v>
      </c>
      <c r="D66" s="84">
        <f>_xlfn.XLOOKUP(A66,'FY1 Event Pipeline'!$A$4:$A$15,'FY1 Event Pipeline'!$R$4:$R$15)</f>
        <v>200</v>
      </c>
      <c r="E66" s="74" t="str">
        <f t="shared" si="104"/>
        <v/>
      </c>
      <c r="F66" s="74" t="str">
        <f t="shared" si="104"/>
        <v/>
      </c>
      <c r="G66" s="78" t="str">
        <f t="shared" si="104"/>
        <v/>
      </c>
      <c r="H66" s="78" t="str">
        <f t="shared" si="104"/>
        <v/>
      </c>
      <c r="I66" s="74" t="str">
        <f t="shared" si="104"/>
        <v/>
      </c>
      <c r="J66" s="74" t="str">
        <f t="shared" si="104"/>
        <v/>
      </c>
      <c r="K66" s="74" t="str">
        <f t="shared" si="104"/>
        <v/>
      </c>
      <c r="L66" s="74" t="str">
        <f t="shared" si="104"/>
        <v/>
      </c>
      <c r="M66" s="74" t="str">
        <f t="shared" si="104"/>
        <v/>
      </c>
      <c r="N66" s="78" t="str">
        <f t="shared" si="104"/>
        <v/>
      </c>
      <c r="O66" s="78" t="str">
        <f t="shared" si="105"/>
        <v/>
      </c>
      <c r="P66" s="74" t="str">
        <f t="shared" si="105"/>
        <v/>
      </c>
      <c r="Q66" s="74" t="str">
        <f t="shared" si="105"/>
        <v/>
      </c>
      <c r="R66" s="74" t="str">
        <f t="shared" si="105"/>
        <v/>
      </c>
      <c r="S66" s="74" t="str">
        <f t="shared" si="105"/>
        <v/>
      </c>
      <c r="T66" s="74" t="str">
        <f t="shared" si="105"/>
        <v/>
      </c>
      <c r="U66" s="78" t="str">
        <f t="shared" si="105"/>
        <v/>
      </c>
      <c r="V66" s="78" t="str">
        <f t="shared" si="105"/>
        <v/>
      </c>
      <c r="W66" s="74" t="str">
        <f t="shared" si="105"/>
        <v/>
      </c>
      <c r="X66" s="74" t="str">
        <f t="shared" si="105"/>
        <v/>
      </c>
      <c r="Y66" s="74" t="str">
        <f t="shared" si="106"/>
        <v/>
      </c>
      <c r="Z66" s="74" t="str">
        <f t="shared" si="106"/>
        <v/>
      </c>
      <c r="AA66" s="74" t="str">
        <f t="shared" si="106"/>
        <v/>
      </c>
      <c r="AB66" s="78" t="str">
        <f t="shared" si="106"/>
        <v/>
      </c>
      <c r="AC66" s="78" t="str">
        <f t="shared" si="106"/>
        <v/>
      </c>
      <c r="AD66" s="74" t="str">
        <f t="shared" si="106"/>
        <v/>
      </c>
      <c r="AE66" s="74" t="str">
        <f t="shared" si="106"/>
        <v/>
      </c>
      <c r="AF66" s="74" t="str">
        <f t="shared" si="106"/>
        <v/>
      </c>
      <c r="AG66" s="74" t="str">
        <f t="shared" si="106"/>
        <v/>
      </c>
      <c r="AH66" s="74" t="str">
        <f t="shared" si="106"/>
        <v/>
      </c>
      <c r="AI66" s="78" t="str">
        <f t="shared" si="107"/>
        <v/>
      </c>
      <c r="AJ66" s="78" t="str">
        <f t="shared" si="107"/>
        <v/>
      </c>
      <c r="AK66" s="74" t="str">
        <f t="shared" si="107"/>
        <v/>
      </c>
      <c r="AL66" s="74" t="str">
        <f t="shared" si="107"/>
        <v/>
      </c>
      <c r="AM66" s="74" t="str">
        <f t="shared" si="107"/>
        <v/>
      </c>
      <c r="AN66" s="74" t="str">
        <f t="shared" si="107"/>
        <v/>
      </c>
      <c r="AO66" s="75">
        <f t="shared" si="107"/>
        <v>200</v>
      </c>
      <c r="AP66" s="75">
        <f t="shared" si="107"/>
        <v>200</v>
      </c>
      <c r="AQ66" s="75">
        <f t="shared" si="107"/>
        <v>200</v>
      </c>
      <c r="AR66" s="75">
        <f t="shared" si="107"/>
        <v>200</v>
      </c>
      <c r="AS66" s="75">
        <f t="shared" si="108"/>
        <v>200</v>
      </c>
      <c r="AT66" s="75">
        <f t="shared" si="108"/>
        <v>200</v>
      </c>
      <c r="AU66" s="75">
        <f t="shared" si="108"/>
        <v>200</v>
      </c>
      <c r="AV66" s="75">
        <f t="shared" si="108"/>
        <v>200</v>
      </c>
      <c r="AW66" s="75">
        <f t="shared" si="108"/>
        <v>200</v>
      </c>
      <c r="AX66" s="75">
        <f t="shared" si="108"/>
        <v>200</v>
      </c>
      <c r="AY66" s="75">
        <f t="shared" si="108"/>
        <v>200</v>
      </c>
      <c r="AZ66" s="75">
        <f t="shared" si="108"/>
        <v>200</v>
      </c>
      <c r="BA66" s="75">
        <f t="shared" si="108"/>
        <v>200</v>
      </c>
      <c r="BB66" s="75">
        <f t="shared" si="108"/>
        <v>200</v>
      </c>
      <c r="BC66" s="76">
        <f t="shared" si="109"/>
        <v>200</v>
      </c>
      <c r="BD66" s="76">
        <f t="shared" si="109"/>
        <v>200</v>
      </c>
      <c r="BE66" s="76">
        <f t="shared" si="109"/>
        <v>200</v>
      </c>
      <c r="BF66" s="76">
        <f t="shared" si="109"/>
        <v>200</v>
      </c>
      <c r="BG66" s="76">
        <f t="shared" si="109"/>
        <v>200</v>
      </c>
      <c r="BH66" s="77">
        <f t="shared" si="109"/>
        <v>200</v>
      </c>
      <c r="BI66" s="77">
        <f t="shared" si="109"/>
        <v>200</v>
      </c>
      <c r="BJ66" s="77">
        <f t="shared" si="109"/>
        <v>200</v>
      </c>
      <c r="BK66" s="78" t="str">
        <f t="shared" si="109"/>
        <v/>
      </c>
      <c r="BL66" s="78" t="str">
        <f t="shared" si="109"/>
        <v/>
      </c>
      <c r="BM66" s="74" t="str">
        <f t="shared" si="110"/>
        <v/>
      </c>
      <c r="BN66" s="74" t="str">
        <f t="shared" si="110"/>
        <v/>
      </c>
      <c r="BO66" s="74" t="str">
        <f t="shared" si="110"/>
        <v/>
      </c>
      <c r="BP66" s="74" t="str">
        <f t="shared" si="110"/>
        <v/>
      </c>
      <c r="BQ66" s="74" t="str">
        <f t="shared" si="110"/>
        <v/>
      </c>
      <c r="BR66" s="78" t="str">
        <f t="shared" si="110"/>
        <v/>
      </c>
      <c r="BS66" s="78" t="str">
        <f t="shared" si="110"/>
        <v/>
      </c>
      <c r="BT66" s="74" t="str">
        <f t="shared" si="110"/>
        <v/>
      </c>
      <c r="BU66" s="74" t="str">
        <f t="shared" si="110"/>
        <v/>
      </c>
      <c r="BV66" s="74" t="str">
        <f t="shared" si="110"/>
        <v/>
      </c>
      <c r="BW66" s="74" t="str">
        <f t="shared" si="111"/>
        <v/>
      </c>
      <c r="BX66" s="74" t="str">
        <f t="shared" si="111"/>
        <v/>
      </c>
      <c r="BY66" s="78" t="str">
        <f t="shared" si="111"/>
        <v/>
      </c>
      <c r="BZ66" s="78" t="str">
        <f t="shared" si="111"/>
        <v/>
      </c>
      <c r="CA66" s="74" t="str">
        <f t="shared" si="111"/>
        <v/>
      </c>
      <c r="CB66" s="74" t="str">
        <f t="shared" si="111"/>
        <v/>
      </c>
      <c r="CC66" s="74" t="str">
        <f t="shared" si="111"/>
        <v/>
      </c>
      <c r="CD66" s="74" t="str">
        <f t="shared" si="111"/>
        <v/>
      </c>
      <c r="CE66" s="74" t="str">
        <f t="shared" si="111"/>
        <v/>
      </c>
      <c r="CF66" s="78" t="str">
        <f t="shared" si="111"/>
        <v/>
      </c>
      <c r="CG66" s="78" t="str">
        <f t="shared" si="112"/>
        <v/>
      </c>
      <c r="CH66" s="74" t="str">
        <f t="shared" si="112"/>
        <v/>
      </c>
      <c r="CI66" s="74" t="str">
        <f t="shared" si="112"/>
        <v/>
      </c>
      <c r="CJ66" s="74" t="str">
        <f t="shared" si="112"/>
        <v/>
      </c>
      <c r="CK66" s="74" t="str">
        <f t="shared" si="112"/>
        <v/>
      </c>
      <c r="CL66" s="74" t="str">
        <f t="shared" si="112"/>
        <v/>
      </c>
      <c r="CM66" s="78" t="str">
        <f t="shared" si="112"/>
        <v/>
      </c>
      <c r="CN66" s="78" t="str">
        <f t="shared" si="112"/>
        <v/>
      </c>
      <c r="CO66" s="74" t="str">
        <f t="shared" si="112"/>
        <v/>
      </c>
      <c r="CP66" s="74" t="str">
        <f t="shared" si="112"/>
        <v/>
      </c>
      <c r="CQ66" s="74" t="str">
        <f t="shared" si="113"/>
        <v/>
      </c>
      <c r="CR66" s="74" t="str">
        <f t="shared" si="113"/>
        <v/>
      </c>
      <c r="CS66" s="74" t="str">
        <f t="shared" si="113"/>
        <v/>
      </c>
      <c r="CT66" s="78" t="str">
        <f t="shared" si="113"/>
        <v/>
      </c>
      <c r="CU66" s="78" t="str">
        <f t="shared" si="113"/>
        <v/>
      </c>
      <c r="CV66" s="74" t="str">
        <f t="shared" si="113"/>
        <v/>
      </c>
      <c r="CW66" s="74" t="str">
        <f t="shared" si="113"/>
        <v/>
      </c>
      <c r="CX66" s="74" t="str">
        <f t="shared" si="113"/>
        <v/>
      </c>
      <c r="CY66" s="74" t="str">
        <f t="shared" si="113"/>
        <v/>
      </c>
      <c r="CZ66" s="74" t="str">
        <f t="shared" si="113"/>
        <v/>
      </c>
      <c r="DA66" s="78" t="str">
        <f t="shared" si="114"/>
        <v/>
      </c>
      <c r="DB66" s="78" t="str">
        <f t="shared" si="114"/>
        <v/>
      </c>
      <c r="DC66" s="74" t="str">
        <f t="shared" si="114"/>
        <v/>
      </c>
      <c r="DD66" s="74" t="str">
        <f t="shared" si="114"/>
        <v/>
      </c>
      <c r="DE66" s="74" t="str">
        <f t="shared" si="114"/>
        <v/>
      </c>
      <c r="DF66" s="74" t="str">
        <f t="shared" si="114"/>
        <v/>
      </c>
      <c r="DG66" s="74" t="str">
        <f t="shared" si="114"/>
        <v/>
      </c>
      <c r="DH66" s="78" t="str">
        <f t="shared" si="114"/>
        <v/>
      </c>
      <c r="DI66" s="78" t="str">
        <f t="shared" si="114"/>
        <v/>
      </c>
      <c r="DJ66" s="74" t="str">
        <f t="shared" si="114"/>
        <v/>
      </c>
      <c r="DK66" s="74" t="str">
        <f t="shared" si="115"/>
        <v/>
      </c>
      <c r="DL66" s="74" t="str">
        <f t="shared" si="115"/>
        <v/>
      </c>
      <c r="DM66" s="74" t="str">
        <f t="shared" si="115"/>
        <v/>
      </c>
      <c r="DN66" s="74" t="str">
        <f t="shared" si="115"/>
        <v/>
      </c>
      <c r="DO66" s="78" t="str">
        <f t="shared" si="115"/>
        <v/>
      </c>
      <c r="DP66" s="78" t="str">
        <f t="shared" si="115"/>
        <v/>
      </c>
      <c r="DQ66" s="74" t="str">
        <f t="shared" si="115"/>
        <v/>
      </c>
      <c r="DR66" s="74" t="str">
        <f t="shared" si="115"/>
        <v/>
      </c>
      <c r="DS66" s="74" t="str">
        <f t="shared" si="115"/>
        <v/>
      </c>
      <c r="DT66" s="74" t="str">
        <f t="shared" si="115"/>
        <v/>
      </c>
      <c r="DU66" s="74" t="str">
        <f t="shared" si="116"/>
        <v/>
      </c>
      <c r="DV66" s="78" t="str">
        <f t="shared" si="116"/>
        <v/>
      </c>
      <c r="DW66" s="78" t="str">
        <f t="shared" si="116"/>
        <v/>
      </c>
      <c r="DX66" s="74" t="str">
        <f t="shared" si="116"/>
        <v/>
      </c>
      <c r="DY66" s="74" t="str">
        <f t="shared" si="116"/>
        <v/>
      </c>
      <c r="DZ66" s="74" t="str">
        <f t="shared" si="116"/>
        <v/>
      </c>
      <c r="EA66" s="74" t="str">
        <f t="shared" si="116"/>
        <v/>
      </c>
      <c r="EB66" s="74" t="str">
        <f t="shared" si="116"/>
        <v/>
      </c>
      <c r="EC66" s="78" t="str">
        <f t="shared" si="116"/>
        <v/>
      </c>
      <c r="ED66" s="78" t="str">
        <f t="shared" si="116"/>
        <v/>
      </c>
      <c r="EE66" s="74" t="str">
        <f t="shared" si="117"/>
        <v/>
      </c>
      <c r="EF66" s="74" t="str">
        <f t="shared" si="117"/>
        <v/>
      </c>
      <c r="EG66" s="74" t="str">
        <f t="shared" si="117"/>
        <v/>
      </c>
      <c r="EH66" s="74" t="str">
        <f t="shared" si="117"/>
        <v/>
      </c>
      <c r="EI66" s="74" t="str">
        <f t="shared" si="117"/>
        <v/>
      </c>
      <c r="EJ66" s="78" t="str">
        <f t="shared" si="117"/>
        <v/>
      </c>
      <c r="EK66" s="78" t="str">
        <f t="shared" si="117"/>
        <v/>
      </c>
      <c r="EL66" s="74" t="str">
        <f t="shared" si="117"/>
        <v/>
      </c>
      <c r="EM66" s="74" t="str">
        <f t="shared" si="117"/>
        <v/>
      </c>
      <c r="EN66" s="74" t="str">
        <f t="shared" si="117"/>
        <v/>
      </c>
      <c r="EO66" s="74" t="str">
        <f t="shared" si="118"/>
        <v/>
      </c>
      <c r="EP66" s="74" t="str">
        <f t="shared" si="118"/>
        <v/>
      </c>
      <c r="EQ66" s="78" t="str">
        <f t="shared" si="118"/>
        <v/>
      </c>
      <c r="ER66" s="78" t="str">
        <f t="shared" si="118"/>
        <v/>
      </c>
      <c r="ES66" s="74" t="str">
        <f t="shared" si="118"/>
        <v/>
      </c>
      <c r="ET66" s="74" t="str">
        <f t="shared" si="118"/>
        <v/>
      </c>
      <c r="EU66" s="74" t="str">
        <f t="shared" si="118"/>
        <v/>
      </c>
      <c r="EV66" s="74" t="str">
        <f t="shared" si="118"/>
        <v/>
      </c>
      <c r="EW66" s="74" t="str">
        <f t="shared" si="118"/>
        <v/>
      </c>
      <c r="EX66" s="78" t="str">
        <f t="shared" si="118"/>
        <v/>
      </c>
      <c r="EY66" s="78" t="str">
        <f t="shared" si="119"/>
        <v/>
      </c>
      <c r="EZ66" s="74" t="str">
        <f t="shared" si="119"/>
        <v/>
      </c>
      <c r="FA66" s="74" t="str">
        <f t="shared" si="119"/>
        <v/>
      </c>
      <c r="FB66" s="74" t="str">
        <f t="shared" si="119"/>
        <v/>
      </c>
      <c r="FC66" s="74" t="str">
        <f t="shared" si="119"/>
        <v/>
      </c>
      <c r="FD66" s="74" t="str">
        <f t="shared" si="119"/>
        <v/>
      </c>
      <c r="FE66" s="78" t="str">
        <f t="shared" si="119"/>
        <v/>
      </c>
      <c r="FF66" s="78" t="str">
        <f t="shared" si="119"/>
        <v/>
      </c>
      <c r="FG66" s="74" t="str">
        <f t="shared" si="119"/>
        <v/>
      </c>
      <c r="FH66" s="74" t="str">
        <f t="shared" si="119"/>
        <v/>
      </c>
      <c r="FI66" s="74" t="str">
        <f t="shared" si="120"/>
        <v/>
      </c>
      <c r="FJ66" s="74" t="str">
        <f t="shared" si="120"/>
        <v/>
      </c>
      <c r="FK66" s="74" t="str">
        <f t="shared" si="120"/>
        <v/>
      </c>
      <c r="FL66" s="78" t="str">
        <f t="shared" si="120"/>
        <v/>
      </c>
      <c r="FM66" s="78" t="str">
        <f t="shared" si="120"/>
        <v/>
      </c>
      <c r="FN66" s="74" t="str">
        <f t="shared" si="120"/>
        <v/>
      </c>
      <c r="FO66" s="74" t="str">
        <f t="shared" si="120"/>
        <v/>
      </c>
      <c r="FP66" s="74" t="str">
        <f t="shared" si="120"/>
        <v/>
      </c>
      <c r="FQ66" s="74" t="str">
        <f t="shared" si="120"/>
        <v/>
      </c>
      <c r="FR66" s="74" t="str">
        <f t="shared" si="120"/>
        <v/>
      </c>
      <c r="FS66" s="78" t="str">
        <f t="shared" si="121"/>
        <v/>
      </c>
      <c r="FT66" s="78" t="str">
        <f t="shared" si="121"/>
        <v/>
      </c>
      <c r="FU66" s="74" t="str">
        <f t="shared" si="121"/>
        <v/>
      </c>
      <c r="FV66" s="74" t="str">
        <f t="shared" si="121"/>
        <v/>
      </c>
      <c r="FW66" s="74" t="str">
        <f t="shared" si="121"/>
        <v/>
      </c>
      <c r="FX66" s="74" t="str">
        <f t="shared" si="121"/>
        <v/>
      </c>
      <c r="FY66" s="74" t="str">
        <f t="shared" si="121"/>
        <v/>
      </c>
      <c r="FZ66" s="78" t="str">
        <f t="shared" si="121"/>
        <v/>
      </c>
      <c r="GA66" s="78" t="str">
        <f t="shared" si="121"/>
        <v/>
      </c>
      <c r="GB66" s="74" t="str">
        <f t="shared" si="121"/>
        <v/>
      </c>
      <c r="GC66" s="74" t="str">
        <f t="shared" si="122"/>
        <v/>
      </c>
      <c r="GD66" s="74" t="str">
        <f t="shared" si="122"/>
        <v/>
      </c>
      <c r="GE66" s="74" t="str">
        <f t="shared" si="122"/>
        <v/>
      </c>
      <c r="GF66" s="74" t="str">
        <f t="shared" si="122"/>
        <v/>
      </c>
      <c r="GG66" s="78" t="str">
        <f t="shared" si="122"/>
        <v/>
      </c>
      <c r="GH66" s="78" t="str">
        <f t="shared" si="122"/>
        <v/>
      </c>
      <c r="GI66" s="74" t="str">
        <f t="shared" si="122"/>
        <v/>
      </c>
      <c r="GJ66" s="74" t="str">
        <f t="shared" si="122"/>
        <v/>
      </c>
      <c r="GK66" s="74" t="str">
        <f t="shared" si="122"/>
        <v/>
      </c>
      <c r="GL66" s="74" t="str">
        <f t="shared" si="122"/>
        <v/>
      </c>
      <c r="GM66" s="74" t="str">
        <f t="shared" si="123"/>
        <v/>
      </c>
      <c r="GN66" s="78" t="str">
        <f t="shared" si="123"/>
        <v/>
      </c>
      <c r="GO66" s="78" t="str">
        <f t="shared" si="123"/>
        <v/>
      </c>
      <c r="GP66" s="74" t="str">
        <f t="shared" si="123"/>
        <v/>
      </c>
      <c r="GQ66" s="74" t="str">
        <f t="shared" si="123"/>
        <v/>
      </c>
      <c r="GR66" s="74" t="str">
        <f t="shared" si="123"/>
        <v/>
      </c>
      <c r="GS66" s="74" t="str">
        <f t="shared" si="123"/>
        <v/>
      </c>
      <c r="GT66" s="74" t="str">
        <f t="shared" si="123"/>
        <v/>
      </c>
      <c r="GU66" s="78" t="str">
        <f t="shared" si="123"/>
        <v/>
      </c>
      <c r="GV66" s="78" t="str">
        <f t="shared" si="123"/>
        <v/>
      </c>
      <c r="GW66" s="74" t="str">
        <f t="shared" si="124"/>
        <v/>
      </c>
      <c r="GX66" s="74" t="str">
        <f t="shared" si="124"/>
        <v/>
      </c>
      <c r="GY66" s="74" t="str">
        <f t="shared" si="124"/>
        <v/>
      </c>
      <c r="GZ66" s="74" t="str">
        <f t="shared" si="124"/>
        <v/>
      </c>
      <c r="HA66" s="74" t="str">
        <f t="shared" si="124"/>
        <v/>
      </c>
      <c r="HB66" s="78" t="str">
        <f t="shared" si="124"/>
        <v/>
      </c>
      <c r="HC66" s="78" t="str">
        <f t="shared" si="124"/>
        <v/>
      </c>
      <c r="HD66" s="74" t="str">
        <f t="shared" si="124"/>
        <v/>
      </c>
      <c r="HE66" s="74" t="str">
        <f t="shared" si="124"/>
        <v/>
      </c>
      <c r="HF66" s="74" t="str">
        <f t="shared" si="124"/>
        <v/>
      </c>
      <c r="HG66" s="74" t="str">
        <f t="shared" si="124"/>
        <v/>
      </c>
      <c r="HH66" s="74" t="str">
        <f t="shared" si="124"/>
        <v/>
      </c>
    </row>
    <row r="67" spans="1:216" x14ac:dyDescent="0.2">
      <c r="A67" s="82" t="str">
        <f>'FY1 Event Pipeline'!A8</f>
        <v>Tanweer Festival</v>
      </c>
      <c r="B67" s="83">
        <f>_xlfn.XLOOKUP(A67,'FY1 Event Pipeline'!$A$4:$A$15,'FY1 Event Pipeline'!$H$4:$H$15)</f>
        <v>46340</v>
      </c>
      <c r="C67" s="83">
        <f>_xlfn.XLOOKUP(A67,'FY1 Event Pipeline'!$A$4:$A$15,'FY1 Event Pipeline'!$J$4:$J$15)</f>
        <v>46352</v>
      </c>
      <c r="D67" s="84">
        <f>_xlfn.XLOOKUP(A67,'FY1 Event Pipeline'!$A$4:$A$15,'FY1 Event Pipeline'!$R$4:$R$15)</f>
        <v>200</v>
      </c>
      <c r="E67" s="74" t="str">
        <f t="shared" si="104"/>
        <v/>
      </c>
      <c r="F67" s="74" t="str">
        <f t="shared" si="104"/>
        <v/>
      </c>
      <c r="G67" s="78" t="str">
        <f t="shared" si="104"/>
        <v/>
      </c>
      <c r="H67" s="78" t="str">
        <f t="shared" si="104"/>
        <v/>
      </c>
      <c r="I67" s="74" t="str">
        <f t="shared" si="104"/>
        <v/>
      </c>
      <c r="J67" s="74" t="str">
        <f t="shared" si="104"/>
        <v/>
      </c>
      <c r="K67" s="74" t="str">
        <f t="shared" si="104"/>
        <v/>
      </c>
      <c r="L67" s="74" t="str">
        <f t="shared" si="104"/>
        <v/>
      </c>
      <c r="M67" s="74" t="str">
        <f t="shared" si="104"/>
        <v/>
      </c>
      <c r="N67" s="78" t="str">
        <f t="shared" si="104"/>
        <v/>
      </c>
      <c r="O67" s="78" t="str">
        <f t="shared" si="105"/>
        <v/>
      </c>
      <c r="P67" s="74" t="str">
        <f t="shared" si="105"/>
        <v/>
      </c>
      <c r="Q67" s="74" t="str">
        <f t="shared" si="105"/>
        <v/>
      </c>
      <c r="R67" s="74" t="str">
        <f t="shared" si="105"/>
        <v/>
      </c>
      <c r="S67" s="74" t="str">
        <f t="shared" si="105"/>
        <v/>
      </c>
      <c r="T67" s="74" t="str">
        <f t="shared" si="105"/>
        <v/>
      </c>
      <c r="U67" s="78" t="str">
        <f t="shared" si="105"/>
        <v/>
      </c>
      <c r="V67" s="78" t="str">
        <f t="shared" si="105"/>
        <v/>
      </c>
      <c r="W67" s="74" t="str">
        <f t="shared" si="105"/>
        <v/>
      </c>
      <c r="X67" s="74" t="str">
        <f t="shared" si="105"/>
        <v/>
      </c>
      <c r="Y67" s="74" t="str">
        <f t="shared" si="106"/>
        <v/>
      </c>
      <c r="Z67" s="74" t="str">
        <f t="shared" si="106"/>
        <v/>
      </c>
      <c r="AA67" s="74" t="str">
        <f t="shared" si="106"/>
        <v/>
      </c>
      <c r="AB67" s="78" t="str">
        <f t="shared" si="106"/>
        <v/>
      </c>
      <c r="AC67" s="78" t="str">
        <f t="shared" si="106"/>
        <v/>
      </c>
      <c r="AD67" s="74" t="str">
        <f t="shared" si="106"/>
        <v/>
      </c>
      <c r="AE67" s="74" t="str">
        <f t="shared" si="106"/>
        <v/>
      </c>
      <c r="AF67" s="74" t="str">
        <f t="shared" si="106"/>
        <v/>
      </c>
      <c r="AG67" s="74" t="str">
        <f t="shared" si="106"/>
        <v/>
      </c>
      <c r="AH67" s="74" t="str">
        <f t="shared" si="106"/>
        <v/>
      </c>
      <c r="AI67" s="78" t="str">
        <f t="shared" si="107"/>
        <v/>
      </c>
      <c r="AJ67" s="78" t="str">
        <f t="shared" si="107"/>
        <v/>
      </c>
      <c r="AK67" s="74" t="str">
        <f t="shared" si="107"/>
        <v/>
      </c>
      <c r="AL67" s="74" t="str">
        <f t="shared" si="107"/>
        <v/>
      </c>
      <c r="AM67" s="74" t="str">
        <f t="shared" si="107"/>
        <v/>
      </c>
      <c r="AN67" s="74" t="str">
        <f t="shared" si="107"/>
        <v/>
      </c>
      <c r="AO67" s="74" t="str">
        <f t="shared" si="107"/>
        <v/>
      </c>
      <c r="AP67" s="78" t="str">
        <f t="shared" si="107"/>
        <v/>
      </c>
      <c r="AQ67" s="78" t="str">
        <f t="shared" si="107"/>
        <v/>
      </c>
      <c r="AR67" s="74" t="str">
        <f t="shared" si="107"/>
        <v/>
      </c>
      <c r="AS67" s="74" t="str">
        <f t="shared" si="108"/>
        <v/>
      </c>
      <c r="AT67" s="74" t="str">
        <f t="shared" si="108"/>
        <v/>
      </c>
      <c r="AU67" s="74" t="str">
        <f t="shared" si="108"/>
        <v/>
      </c>
      <c r="AV67" s="74" t="str">
        <f t="shared" si="108"/>
        <v/>
      </c>
      <c r="AW67" s="75">
        <f t="shared" si="108"/>
        <v>200</v>
      </c>
      <c r="AX67" s="75">
        <f t="shared" si="108"/>
        <v>200</v>
      </c>
      <c r="AY67" s="75">
        <f t="shared" si="108"/>
        <v>200</v>
      </c>
      <c r="AZ67" s="75">
        <f t="shared" si="108"/>
        <v>200</v>
      </c>
      <c r="BA67" s="75">
        <f t="shared" si="108"/>
        <v>200</v>
      </c>
      <c r="BB67" s="75">
        <f t="shared" si="108"/>
        <v>200</v>
      </c>
      <c r="BC67" s="75">
        <f t="shared" si="109"/>
        <v>200</v>
      </c>
      <c r="BD67" s="76">
        <f t="shared" si="109"/>
        <v>200</v>
      </c>
      <c r="BE67" s="76">
        <f t="shared" si="109"/>
        <v>200</v>
      </c>
      <c r="BF67" s="76">
        <f t="shared" si="109"/>
        <v>200</v>
      </c>
      <c r="BG67" s="77">
        <f t="shared" si="109"/>
        <v>200</v>
      </c>
      <c r="BH67" s="77">
        <f t="shared" si="109"/>
        <v>200</v>
      </c>
      <c r="BI67" s="77">
        <f t="shared" si="109"/>
        <v>200</v>
      </c>
      <c r="BJ67" s="74" t="str">
        <f t="shared" si="109"/>
        <v/>
      </c>
      <c r="BK67" s="78" t="str">
        <f t="shared" si="109"/>
        <v/>
      </c>
      <c r="BL67" s="78" t="str">
        <f t="shared" si="109"/>
        <v/>
      </c>
      <c r="BM67" s="74" t="str">
        <f t="shared" si="110"/>
        <v/>
      </c>
      <c r="BN67" s="74" t="str">
        <f t="shared" si="110"/>
        <v/>
      </c>
      <c r="BO67" s="74" t="str">
        <f t="shared" si="110"/>
        <v/>
      </c>
      <c r="BP67" s="74" t="str">
        <f t="shared" si="110"/>
        <v/>
      </c>
      <c r="BQ67" s="74" t="str">
        <f t="shared" si="110"/>
        <v/>
      </c>
      <c r="BR67" s="78" t="str">
        <f t="shared" si="110"/>
        <v/>
      </c>
      <c r="BS67" s="78" t="str">
        <f t="shared" si="110"/>
        <v/>
      </c>
      <c r="BT67" s="74" t="str">
        <f t="shared" si="110"/>
        <v/>
      </c>
      <c r="BU67" s="74" t="str">
        <f t="shared" si="110"/>
        <v/>
      </c>
      <c r="BV67" s="74" t="str">
        <f t="shared" si="110"/>
        <v/>
      </c>
      <c r="BW67" s="74" t="str">
        <f t="shared" si="111"/>
        <v/>
      </c>
      <c r="BX67" s="74" t="str">
        <f t="shared" si="111"/>
        <v/>
      </c>
      <c r="BY67" s="78" t="str">
        <f t="shared" si="111"/>
        <v/>
      </c>
      <c r="BZ67" s="78" t="str">
        <f t="shared" si="111"/>
        <v/>
      </c>
      <c r="CA67" s="74" t="str">
        <f t="shared" si="111"/>
        <v/>
      </c>
      <c r="CB67" s="74" t="str">
        <f t="shared" si="111"/>
        <v/>
      </c>
      <c r="CC67" s="74" t="str">
        <f t="shared" si="111"/>
        <v/>
      </c>
      <c r="CD67" s="74" t="str">
        <f t="shared" si="111"/>
        <v/>
      </c>
      <c r="CE67" s="74" t="str">
        <f t="shared" si="111"/>
        <v/>
      </c>
      <c r="CF67" s="78" t="str">
        <f t="shared" si="111"/>
        <v/>
      </c>
      <c r="CG67" s="78" t="str">
        <f t="shared" si="112"/>
        <v/>
      </c>
      <c r="CH67" s="74" t="str">
        <f t="shared" si="112"/>
        <v/>
      </c>
      <c r="CI67" s="74" t="str">
        <f t="shared" si="112"/>
        <v/>
      </c>
      <c r="CJ67" s="74" t="str">
        <f t="shared" si="112"/>
        <v/>
      </c>
      <c r="CK67" s="74" t="str">
        <f t="shared" si="112"/>
        <v/>
      </c>
      <c r="CL67" s="74" t="str">
        <f t="shared" si="112"/>
        <v/>
      </c>
      <c r="CM67" s="78" t="str">
        <f t="shared" si="112"/>
        <v/>
      </c>
      <c r="CN67" s="78" t="str">
        <f t="shared" si="112"/>
        <v/>
      </c>
      <c r="CO67" s="74" t="str">
        <f t="shared" si="112"/>
        <v/>
      </c>
      <c r="CP67" s="74" t="str">
        <f t="shared" si="112"/>
        <v/>
      </c>
      <c r="CQ67" s="74" t="str">
        <f t="shared" si="113"/>
        <v/>
      </c>
      <c r="CR67" s="74" t="str">
        <f t="shared" si="113"/>
        <v/>
      </c>
      <c r="CS67" s="74" t="str">
        <f t="shared" si="113"/>
        <v/>
      </c>
      <c r="CT67" s="78" t="str">
        <f t="shared" si="113"/>
        <v/>
      </c>
      <c r="CU67" s="78" t="str">
        <f t="shared" si="113"/>
        <v/>
      </c>
      <c r="CV67" s="74" t="str">
        <f t="shared" si="113"/>
        <v/>
      </c>
      <c r="CW67" s="74" t="str">
        <f t="shared" si="113"/>
        <v/>
      </c>
      <c r="CX67" s="74" t="str">
        <f t="shared" si="113"/>
        <v/>
      </c>
      <c r="CY67" s="74" t="str">
        <f t="shared" si="113"/>
        <v/>
      </c>
      <c r="CZ67" s="74" t="str">
        <f t="shared" si="113"/>
        <v/>
      </c>
      <c r="DA67" s="78" t="str">
        <f t="shared" si="114"/>
        <v/>
      </c>
      <c r="DB67" s="78" t="str">
        <f t="shared" si="114"/>
        <v/>
      </c>
      <c r="DC67" s="74" t="str">
        <f t="shared" si="114"/>
        <v/>
      </c>
      <c r="DD67" s="74" t="str">
        <f t="shared" si="114"/>
        <v/>
      </c>
      <c r="DE67" s="74" t="str">
        <f t="shared" si="114"/>
        <v/>
      </c>
      <c r="DF67" s="74" t="str">
        <f t="shared" si="114"/>
        <v/>
      </c>
      <c r="DG67" s="74" t="str">
        <f t="shared" si="114"/>
        <v/>
      </c>
      <c r="DH67" s="78" t="str">
        <f t="shared" si="114"/>
        <v/>
      </c>
      <c r="DI67" s="78" t="str">
        <f t="shared" si="114"/>
        <v/>
      </c>
      <c r="DJ67" s="74" t="str">
        <f t="shared" si="114"/>
        <v/>
      </c>
      <c r="DK67" s="74" t="str">
        <f t="shared" si="115"/>
        <v/>
      </c>
      <c r="DL67" s="74" t="str">
        <f t="shared" si="115"/>
        <v/>
      </c>
      <c r="DM67" s="74" t="str">
        <f t="shared" si="115"/>
        <v/>
      </c>
      <c r="DN67" s="74" t="str">
        <f t="shared" si="115"/>
        <v/>
      </c>
      <c r="DO67" s="78" t="str">
        <f t="shared" si="115"/>
        <v/>
      </c>
      <c r="DP67" s="78" t="str">
        <f t="shared" si="115"/>
        <v/>
      </c>
      <c r="DQ67" s="74" t="str">
        <f t="shared" si="115"/>
        <v/>
      </c>
      <c r="DR67" s="74" t="str">
        <f t="shared" si="115"/>
        <v/>
      </c>
      <c r="DS67" s="74" t="str">
        <f t="shared" si="115"/>
        <v/>
      </c>
      <c r="DT67" s="74" t="str">
        <f t="shared" si="115"/>
        <v/>
      </c>
      <c r="DU67" s="74" t="str">
        <f t="shared" si="116"/>
        <v/>
      </c>
      <c r="DV67" s="78" t="str">
        <f t="shared" si="116"/>
        <v/>
      </c>
      <c r="DW67" s="78" t="str">
        <f t="shared" si="116"/>
        <v/>
      </c>
      <c r="DX67" s="74" t="str">
        <f t="shared" si="116"/>
        <v/>
      </c>
      <c r="DY67" s="74" t="str">
        <f t="shared" si="116"/>
        <v/>
      </c>
      <c r="DZ67" s="74" t="str">
        <f t="shared" si="116"/>
        <v/>
      </c>
      <c r="EA67" s="74" t="str">
        <f t="shared" si="116"/>
        <v/>
      </c>
      <c r="EB67" s="74" t="str">
        <f t="shared" si="116"/>
        <v/>
      </c>
      <c r="EC67" s="78" t="str">
        <f t="shared" si="116"/>
        <v/>
      </c>
      <c r="ED67" s="78" t="str">
        <f t="shared" si="116"/>
        <v/>
      </c>
      <c r="EE67" s="74" t="str">
        <f t="shared" si="117"/>
        <v/>
      </c>
      <c r="EF67" s="74" t="str">
        <f t="shared" si="117"/>
        <v/>
      </c>
      <c r="EG67" s="74" t="str">
        <f t="shared" si="117"/>
        <v/>
      </c>
      <c r="EH67" s="74" t="str">
        <f t="shared" si="117"/>
        <v/>
      </c>
      <c r="EI67" s="74" t="str">
        <f t="shared" si="117"/>
        <v/>
      </c>
      <c r="EJ67" s="78" t="str">
        <f t="shared" si="117"/>
        <v/>
      </c>
      <c r="EK67" s="78" t="str">
        <f t="shared" si="117"/>
        <v/>
      </c>
      <c r="EL67" s="74" t="str">
        <f t="shared" si="117"/>
        <v/>
      </c>
      <c r="EM67" s="74" t="str">
        <f t="shared" si="117"/>
        <v/>
      </c>
      <c r="EN67" s="74" t="str">
        <f t="shared" si="117"/>
        <v/>
      </c>
      <c r="EO67" s="74" t="str">
        <f t="shared" si="118"/>
        <v/>
      </c>
      <c r="EP67" s="74" t="str">
        <f t="shared" si="118"/>
        <v/>
      </c>
      <c r="EQ67" s="78" t="str">
        <f t="shared" si="118"/>
        <v/>
      </c>
      <c r="ER67" s="78" t="str">
        <f t="shared" si="118"/>
        <v/>
      </c>
      <c r="ES67" s="74" t="str">
        <f t="shared" si="118"/>
        <v/>
      </c>
      <c r="ET67" s="74" t="str">
        <f t="shared" si="118"/>
        <v/>
      </c>
      <c r="EU67" s="74" t="str">
        <f t="shared" si="118"/>
        <v/>
      </c>
      <c r="EV67" s="74" t="str">
        <f t="shared" si="118"/>
        <v/>
      </c>
      <c r="EW67" s="74" t="str">
        <f t="shared" si="118"/>
        <v/>
      </c>
      <c r="EX67" s="78" t="str">
        <f t="shared" si="118"/>
        <v/>
      </c>
      <c r="EY67" s="78" t="str">
        <f t="shared" si="119"/>
        <v/>
      </c>
      <c r="EZ67" s="74" t="str">
        <f t="shared" si="119"/>
        <v/>
      </c>
      <c r="FA67" s="74" t="str">
        <f t="shared" si="119"/>
        <v/>
      </c>
      <c r="FB67" s="74" t="str">
        <f t="shared" si="119"/>
        <v/>
      </c>
      <c r="FC67" s="74" t="str">
        <f t="shared" si="119"/>
        <v/>
      </c>
      <c r="FD67" s="74" t="str">
        <f t="shared" si="119"/>
        <v/>
      </c>
      <c r="FE67" s="78" t="str">
        <f t="shared" si="119"/>
        <v/>
      </c>
      <c r="FF67" s="78" t="str">
        <f t="shared" si="119"/>
        <v/>
      </c>
      <c r="FG67" s="74" t="str">
        <f t="shared" si="119"/>
        <v/>
      </c>
      <c r="FH67" s="74" t="str">
        <f t="shared" si="119"/>
        <v/>
      </c>
      <c r="FI67" s="74" t="str">
        <f t="shared" si="120"/>
        <v/>
      </c>
      <c r="FJ67" s="74" t="str">
        <f t="shared" si="120"/>
        <v/>
      </c>
      <c r="FK67" s="74" t="str">
        <f t="shared" si="120"/>
        <v/>
      </c>
      <c r="FL67" s="78" t="str">
        <f t="shared" si="120"/>
        <v/>
      </c>
      <c r="FM67" s="78" t="str">
        <f t="shared" si="120"/>
        <v/>
      </c>
      <c r="FN67" s="74" t="str">
        <f t="shared" si="120"/>
        <v/>
      </c>
      <c r="FO67" s="74" t="str">
        <f t="shared" si="120"/>
        <v/>
      </c>
      <c r="FP67" s="74" t="str">
        <f t="shared" si="120"/>
        <v/>
      </c>
      <c r="FQ67" s="74" t="str">
        <f t="shared" si="120"/>
        <v/>
      </c>
      <c r="FR67" s="74" t="str">
        <f t="shared" si="120"/>
        <v/>
      </c>
      <c r="FS67" s="78" t="str">
        <f t="shared" si="121"/>
        <v/>
      </c>
      <c r="FT67" s="78" t="str">
        <f t="shared" si="121"/>
        <v/>
      </c>
      <c r="FU67" s="74" t="str">
        <f t="shared" si="121"/>
        <v/>
      </c>
      <c r="FV67" s="74" t="str">
        <f t="shared" si="121"/>
        <v/>
      </c>
      <c r="FW67" s="74" t="str">
        <f t="shared" si="121"/>
        <v/>
      </c>
      <c r="FX67" s="74" t="str">
        <f t="shared" si="121"/>
        <v/>
      </c>
      <c r="FY67" s="74" t="str">
        <f t="shared" si="121"/>
        <v/>
      </c>
      <c r="FZ67" s="78" t="str">
        <f t="shared" si="121"/>
        <v/>
      </c>
      <c r="GA67" s="78" t="str">
        <f t="shared" si="121"/>
        <v/>
      </c>
      <c r="GB67" s="74" t="str">
        <f t="shared" si="121"/>
        <v/>
      </c>
      <c r="GC67" s="74" t="str">
        <f t="shared" si="122"/>
        <v/>
      </c>
      <c r="GD67" s="74" t="str">
        <f t="shared" si="122"/>
        <v/>
      </c>
      <c r="GE67" s="74" t="str">
        <f t="shared" si="122"/>
        <v/>
      </c>
      <c r="GF67" s="74" t="str">
        <f t="shared" si="122"/>
        <v/>
      </c>
      <c r="GG67" s="78" t="str">
        <f t="shared" si="122"/>
        <v/>
      </c>
      <c r="GH67" s="78" t="str">
        <f t="shared" si="122"/>
        <v/>
      </c>
      <c r="GI67" s="74" t="str">
        <f t="shared" si="122"/>
        <v/>
      </c>
      <c r="GJ67" s="74" t="str">
        <f t="shared" si="122"/>
        <v/>
      </c>
      <c r="GK67" s="74" t="str">
        <f t="shared" si="122"/>
        <v/>
      </c>
      <c r="GL67" s="74" t="str">
        <f t="shared" si="122"/>
        <v/>
      </c>
      <c r="GM67" s="74" t="str">
        <f t="shared" si="123"/>
        <v/>
      </c>
      <c r="GN67" s="78" t="str">
        <f t="shared" si="123"/>
        <v/>
      </c>
      <c r="GO67" s="78" t="str">
        <f t="shared" si="123"/>
        <v/>
      </c>
      <c r="GP67" s="74" t="str">
        <f t="shared" si="123"/>
        <v/>
      </c>
      <c r="GQ67" s="74" t="str">
        <f t="shared" si="123"/>
        <v/>
      </c>
      <c r="GR67" s="74" t="str">
        <f t="shared" si="123"/>
        <v/>
      </c>
      <c r="GS67" s="74" t="str">
        <f t="shared" si="123"/>
        <v/>
      </c>
      <c r="GT67" s="74" t="str">
        <f t="shared" si="123"/>
        <v/>
      </c>
      <c r="GU67" s="78" t="str">
        <f t="shared" si="123"/>
        <v/>
      </c>
      <c r="GV67" s="78" t="str">
        <f t="shared" si="123"/>
        <v/>
      </c>
      <c r="GW67" s="74" t="str">
        <f t="shared" si="124"/>
        <v/>
      </c>
      <c r="GX67" s="74" t="str">
        <f t="shared" si="124"/>
        <v/>
      </c>
      <c r="GY67" s="74" t="str">
        <f t="shared" si="124"/>
        <v/>
      </c>
      <c r="GZ67" s="74" t="str">
        <f t="shared" si="124"/>
        <v/>
      </c>
      <c r="HA67" s="74" t="str">
        <f t="shared" si="124"/>
        <v/>
      </c>
      <c r="HB67" s="78" t="str">
        <f t="shared" si="124"/>
        <v/>
      </c>
      <c r="HC67" s="78" t="str">
        <f t="shared" si="124"/>
        <v/>
      </c>
      <c r="HD67" s="74" t="str">
        <f t="shared" si="124"/>
        <v/>
      </c>
      <c r="HE67" s="74" t="str">
        <f t="shared" si="124"/>
        <v/>
      </c>
      <c r="HF67" s="74" t="str">
        <f t="shared" si="124"/>
        <v/>
      </c>
      <c r="HG67" s="74" t="str">
        <f t="shared" si="124"/>
        <v/>
      </c>
      <c r="HH67" s="74" t="str">
        <f t="shared" si="124"/>
        <v/>
      </c>
    </row>
    <row r="68" spans="1:216" x14ac:dyDescent="0.2">
      <c r="A68" s="82" t="str">
        <f>'FY1 Event Pipeline'!A9</f>
        <v>MOTN AAN</v>
      </c>
      <c r="B68" s="83">
        <f>_xlfn.XLOOKUP(A68,'FY1 Event Pipeline'!$A$4:$A$15,'FY1 Event Pipeline'!$H$4:$H$15)</f>
        <v>46336</v>
      </c>
      <c r="C68" s="83">
        <f>_xlfn.XLOOKUP(A68,'FY1 Event Pipeline'!$A$4:$A$15,'FY1 Event Pipeline'!$J$4:$J$15)</f>
        <v>46362</v>
      </c>
      <c r="D68" s="84">
        <f>_xlfn.XLOOKUP(A68,'FY1 Event Pipeline'!$A$4:$A$15,'FY1 Event Pipeline'!$R$4:$R$15)</f>
        <v>0</v>
      </c>
      <c r="E68" s="74" t="str">
        <f t="shared" si="104"/>
        <v/>
      </c>
      <c r="F68" s="74" t="str">
        <f t="shared" si="104"/>
        <v/>
      </c>
      <c r="G68" s="78" t="str">
        <f t="shared" si="104"/>
        <v/>
      </c>
      <c r="H68" s="78" t="str">
        <f t="shared" si="104"/>
        <v/>
      </c>
      <c r="I68" s="74" t="str">
        <f t="shared" si="104"/>
        <v/>
      </c>
      <c r="J68" s="74" t="str">
        <f t="shared" si="104"/>
        <v/>
      </c>
      <c r="K68" s="74" t="str">
        <f t="shared" si="104"/>
        <v/>
      </c>
      <c r="L68" s="74" t="str">
        <f t="shared" si="104"/>
        <v/>
      </c>
      <c r="M68" s="74" t="str">
        <f t="shared" si="104"/>
        <v/>
      </c>
      <c r="N68" s="78" t="str">
        <f t="shared" si="104"/>
        <v/>
      </c>
      <c r="O68" s="78" t="str">
        <f t="shared" si="105"/>
        <v/>
      </c>
      <c r="P68" s="74" t="str">
        <f t="shared" si="105"/>
        <v/>
      </c>
      <c r="Q68" s="74" t="str">
        <f t="shared" si="105"/>
        <v/>
      </c>
      <c r="R68" s="74" t="str">
        <f t="shared" si="105"/>
        <v/>
      </c>
      <c r="S68" s="74" t="str">
        <f t="shared" si="105"/>
        <v/>
      </c>
      <c r="T68" s="74" t="str">
        <f t="shared" si="105"/>
        <v/>
      </c>
      <c r="U68" s="78" t="str">
        <f t="shared" si="105"/>
        <v/>
      </c>
      <c r="V68" s="78" t="str">
        <f t="shared" si="105"/>
        <v/>
      </c>
      <c r="W68" s="74" t="str">
        <f t="shared" si="105"/>
        <v/>
      </c>
      <c r="X68" s="74" t="str">
        <f t="shared" si="105"/>
        <v/>
      </c>
      <c r="Y68" s="74" t="str">
        <f t="shared" si="106"/>
        <v/>
      </c>
      <c r="Z68" s="74" t="str">
        <f t="shared" si="106"/>
        <v/>
      </c>
      <c r="AA68" s="74" t="str">
        <f t="shared" si="106"/>
        <v/>
      </c>
      <c r="AB68" s="78" t="str">
        <f t="shared" si="106"/>
        <v/>
      </c>
      <c r="AC68" s="78" t="str">
        <f t="shared" si="106"/>
        <v/>
      </c>
      <c r="AD68" s="74" t="str">
        <f t="shared" si="106"/>
        <v/>
      </c>
      <c r="AE68" s="74" t="str">
        <f t="shared" si="106"/>
        <v/>
      </c>
      <c r="AF68" s="74" t="str">
        <f t="shared" si="106"/>
        <v/>
      </c>
      <c r="AG68" s="74" t="str">
        <f t="shared" si="106"/>
        <v/>
      </c>
      <c r="AH68" s="74" t="str">
        <f t="shared" si="106"/>
        <v/>
      </c>
      <c r="AI68" s="78" t="str">
        <f t="shared" si="107"/>
        <v/>
      </c>
      <c r="AJ68" s="78" t="str">
        <f t="shared" si="107"/>
        <v/>
      </c>
      <c r="AK68" s="74" t="str">
        <f t="shared" si="107"/>
        <v/>
      </c>
      <c r="AL68" s="74" t="str">
        <f t="shared" si="107"/>
        <v/>
      </c>
      <c r="AM68" s="74" t="str">
        <f t="shared" si="107"/>
        <v/>
      </c>
      <c r="AN68" s="74" t="str">
        <f t="shared" si="107"/>
        <v/>
      </c>
      <c r="AO68" s="74" t="str">
        <f t="shared" si="107"/>
        <v/>
      </c>
      <c r="AP68" s="78" t="str">
        <f t="shared" si="107"/>
        <v/>
      </c>
      <c r="AQ68" s="78" t="str">
        <f t="shared" si="107"/>
        <v/>
      </c>
      <c r="AR68" s="74" t="str">
        <f t="shared" si="107"/>
        <v/>
      </c>
      <c r="AS68" s="75">
        <f t="shared" si="108"/>
        <v>0</v>
      </c>
      <c r="AT68" s="75">
        <f t="shared" si="108"/>
        <v>0</v>
      </c>
      <c r="AU68" s="75">
        <f t="shared" si="108"/>
        <v>0</v>
      </c>
      <c r="AV68" s="75">
        <f t="shared" si="108"/>
        <v>0</v>
      </c>
      <c r="AW68" s="75">
        <f t="shared" si="108"/>
        <v>0</v>
      </c>
      <c r="AX68" s="75">
        <f t="shared" si="108"/>
        <v>0</v>
      </c>
      <c r="AY68" s="75">
        <f t="shared" si="108"/>
        <v>0</v>
      </c>
      <c r="AZ68" s="75">
        <f t="shared" si="108"/>
        <v>0</v>
      </c>
      <c r="BA68" s="75">
        <f t="shared" si="108"/>
        <v>0</v>
      </c>
      <c r="BB68" s="75">
        <f t="shared" si="108"/>
        <v>0</v>
      </c>
      <c r="BC68" s="75">
        <f t="shared" si="109"/>
        <v>0</v>
      </c>
      <c r="BD68" s="75">
        <f t="shared" si="109"/>
        <v>0</v>
      </c>
      <c r="BE68" s="75">
        <f t="shared" si="109"/>
        <v>0</v>
      </c>
      <c r="BF68" s="75">
        <f t="shared" si="109"/>
        <v>0</v>
      </c>
      <c r="BG68" s="76">
        <f t="shared" si="109"/>
        <v>0</v>
      </c>
      <c r="BH68" s="76">
        <f t="shared" si="109"/>
        <v>0</v>
      </c>
      <c r="BI68" s="76">
        <f t="shared" si="109"/>
        <v>0</v>
      </c>
      <c r="BJ68" s="76">
        <f t="shared" si="109"/>
        <v>0</v>
      </c>
      <c r="BK68" s="76">
        <f t="shared" si="109"/>
        <v>0</v>
      </c>
      <c r="BL68" s="76">
        <f t="shared" si="109"/>
        <v>0</v>
      </c>
      <c r="BM68" s="76">
        <f t="shared" si="110"/>
        <v>0</v>
      </c>
      <c r="BN68" s="76">
        <f t="shared" si="110"/>
        <v>0</v>
      </c>
      <c r="BO68" s="76">
        <f t="shared" si="110"/>
        <v>0</v>
      </c>
      <c r="BP68" s="77">
        <f t="shared" si="110"/>
        <v>0</v>
      </c>
      <c r="BQ68" s="77">
        <f t="shared" si="110"/>
        <v>0</v>
      </c>
      <c r="BR68" s="77">
        <f t="shared" si="110"/>
        <v>0</v>
      </c>
      <c r="BS68" s="77">
        <f t="shared" si="110"/>
        <v>0</v>
      </c>
      <c r="BT68" s="74" t="str">
        <f t="shared" si="110"/>
        <v/>
      </c>
      <c r="BU68" s="74" t="str">
        <f t="shared" si="110"/>
        <v/>
      </c>
      <c r="BV68" s="74" t="str">
        <f t="shared" si="110"/>
        <v/>
      </c>
      <c r="BW68" s="74" t="str">
        <f t="shared" si="111"/>
        <v/>
      </c>
      <c r="BX68" s="74" t="str">
        <f t="shared" si="111"/>
        <v/>
      </c>
      <c r="BY68" s="78" t="str">
        <f t="shared" si="111"/>
        <v/>
      </c>
      <c r="BZ68" s="78" t="str">
        <f t="shared" si="111"/>
        <v/>
      </c>
      <c r="CA68" s="74" t="str">
        <f t="shared" si="111"/>
        <v/>
      </c>
      <c r="CB68" s="74" t="str">
        <f t="shared" si="111"/>
        <v/>
      </c>
      <c r="CC68" s="74" t="str">
        <f t="shared" si="111"/>
        <v/>
      </c>
      <c r="CD68" s="74" t="str">
        <f t="shared" si="111"/>
        <v/>
      </c>
      <c r="CE68" s="74" t="str">
        <f t="shared" si="111"/>
        <v/>
      </c>
      <c r="CF68" s="78" t="str">
        <f t="shared" si="111"/>
        <v/>
      </c>
      <c r="CG68" s="78" t="str">
        <f t="shared" si="112"/>
        <v/>
      </c>
      <c r="CH68" s="74" t="str">
        <f t="shared" si="112"/>
        <v/>
      </c>
      <c r="CI68" s="74" t="str">
        <f t="shared" si="112"/>
        <v/>
      </c>
      <c r="CJ68" s="74" t="str">
        <f t="shared" si="112"/>
        <v/>
      </c>
      <c r="CK68" s="74" t="str">
        <f t="shared" si="112"/>
        <v/>
      </c>
      <c r="CL68" s="74" t="str">
        <f t="shared" si="112"/>
        <v/>
      </c>
      <c r="CM68" s="78" t="str">
        <f t="shared" si="112"/>
        <v/>
      </c>
      <c r="CN68" s="78" t="str">
        <f t="shared" si="112"/>
        <v/>
      </c>
      <c r="CO68" s="74" t="str">
        <f t="shared" si="112"/>
        <v/>
      </c>
      <c r="CP68" s="74" t="str">
        <f t="shared" si="112"/>
        <v/>
      </c>
      <c r="CQ68" s="74" t="str">
        <f t="shared" si="113"/>
        <v/>
      </c>
      <c r="CR68" s="74" t="str">
        <f t="shared" si="113"/>
        <v/>
      </c>
      <c r="CS68" s="74" t="str">
        <f t="shared" si="113"/>
        <v/>
      </c>
      <c r="CT68" s="78" t="str">
        <f t="shared" si="113"/>
        <v/>
      </c>
      <c r="CU68" s="78" t="str">
        <f t="shared" si="113"/>
        <v/>
      </c>
      <c r="CV68" s="74" t="str">
        <f t="shared" si="113"/>
        <v/>
      </c>
      <c r="CW68" s="74" t="str">
        <f t="shared" si="113"/>
        <v/>
      </c>
      <c r="CX68" s="74" t="str">
        <f t="shared" si="113"/>
        <v/>
      </c>
      <c r="CY68" s="74" t="str">
        <f t="shared" si="113"/>
        <v/>
      </c>
      <c r="CZ68" s="74" t="str">
        <f t="shared" si="113"/>
        <v/>
      </c>
      <c r="DA68" s="78" t="str">
        <f t="shared" si="114"/>
        <v/>
      </c>
      <c r="DB68" s="78" t="str">
        <f t="shared" si="114"/>
        <v/>
      </c>
      <c r="DC68" s="74" t="str">
        <f t="shared" si="114"/>
        <v/>
      </c>
      <c r="DD68" s="74" t="str">
        <f t="shared" si="114"/>
        <v/>
      </c>
      <c r="DE68" s="74" t="str">
        <f t="shared" si="114"/>
        <v/>
      </c>
      <c r="DF68" s="74" t="str">
        <f t="shared" si="114"/>
        <v/>
      </c>
      <c r="DG68" s="74" t="str">
        <f t="shared" si="114"/>
        <v/>
      </c>
      <c r="DH68" s="78" t="str">
        <f t="shared" si="114"/>
        <v/>
      </c>
      <c r="DI68" s="78" t="str">
        <f t="shared" si="114"/>
        <v/>
      </c>
      <c r="DJ68" s="74" t="str">
        <f t="shared" si="114"/>
        <v/>
      </c>
      <c r="DK68" s="74" t="str">
        <f t="shared" si="115"/>
        <v/>
      </c>
      <c r="DL68" s="74" t="str">
        <f t="shared" si="115"/>
        <v/>
      </c>
      <c r="DM68" s="74" t="str">
        <f t="shared" si="115"/>
        <v/>
      </c>
      <c r="DN68" s="74" t="str">
        <f t="shared" si="115"/>
        <v/>
      </c>
      <c r="DO68" s="78" t="str">
        <f t="shared" si="115"/>
        <v/>
      </c>
      <c r="DP68" s="78" t="str">
        <f t="shared" si="115"/>
        <v/>
      </c>
      <c r="DQ68" s="74" t="str">
        <f t="shared" si="115"/>
        <v/>
      </c>
      <c r="DR68" s="74" t="str">
        <f t="shared" si="115"/>
        <v/>
      </c>
      <c r="DS68" s="74" t="str">
        <f t="shared" si="115"/>
        <v/>
      </c>
      <c r="DT68" s="74" t="str">
        <f t="shared" si="115"/>
        <v/>
      </c>
      <c r="DU68" s="74" t="str">
        <f t="shared" si="116"/>
        <v/>
      </c>
      <c r="DV68" s="78" t="str">
        <f t="shared" si="116"/>
        <v/>
      </c>
      <c r="DW68" s="78" t="str">
        <f t="shared" si="116"/>
        <v/>
      </c>
      <c r="DX68" s="74" t="str">
        <f t="shared" si="116"/>
        <v/>
      </c>
      <c r="DY68" s="74" t="str">
        <f t="shared" si="116"/>
        <v/>
      </c>
      <c r="DZ68" s="74" t="str">
        <f t="shared" si="116"/>
        <v/>
      </c>
      <c r="EA68" s="74" t="str">
        <f t="shared" si="116"/>
        <v/>
      </c>
      <c r="EB68" s="74" t="str">
        <f t="shared" si="116"/>
        <v/>
      </c>
      <c r="EC68" s="78" t="str">
        <f t="shared" si="116"/>
        <v/>
      </c>
      <c r="ED68" s="78" t="str">
        <f t="shared" si="116"/>
        <v/>
      </c>
      <c r="EE68" s="74" t="str">
        <f t="shared" si="117"/>
        <v/>
      </c>
      <c r="EF68" s="74" t="str">
        <f t="shared" si="117"/>
        <v/>
      </c>
      <c r="EG68" s="74" t="str">
        <f t="shared" si="117"/>
        <v/>
      </c>
      <c r="EH68" s="74" t="str">
        <f t="shared" si="117"/>
        <v/>
      </c>
      <c r="EI68" s="74" t="str">
        <f t="shared" si="117"/>
        <v/>
      </c>
      <c r="EJ68" s="78" t="str">
        <f t="shared" si="117"/>
        <v/>
      </c>
      <c r="EK68" s="78" t="str">
        <f t="shared" si="117"/>
        <v/>
      </c>
      <c r="EL68" s="74" t="str">
        <f t="shared" si="117"/>
        <v/>
      </c>
      <c r="EM68" s="74" t="str">
        <f t="shared" si="117"/>
        <v/>
      </c>
      <c r="EN68" s="74" t="str">
        <f t="shared" si="117"/>
        <v/>
      </c>
      <c r="EO68" s="74" t="str">
        <f t="shared" si="118"/>
        <v/>
      </c>
      <c r="EP68" s="74" t="str">
        <f t="shared" si="118"/>
        <v/>
      </c>
      <c r="EQ68" s="78" t="str">
        <f t="shared" si="118"/>
        <v/>
      </c>
      <c r="ER68" s="78" t="str">
        <f t="shared" si="118"/>
        <v/>
      </c>
      <c r="ES68" s="74" t="str">
        <f t="shared" si="118"/>
        <v/>
      </c>
      <c r="ET68" s="74" t="str">
        <f t="shared" si="118"/>
        <v/>
      </c>
      <c r="EU68" s="74" t="str">
        <f t="shared" si="118"/>
        <v/>
      </c>
      <c r="EV68" s="74" t="str">
        <f t="shared" si="118"/>
        <v/>
      </c>
      <c r="EW68" s="74" t="str">
        <f t="shared" si="118"/>
        <v/>
      </c>
      <c r="EX68" s="78" t="str">
        <f t="shared" si="118"/>
        <v/>
      </c>
      <c r="EY68" s="78" t="str">
        <f t="shared" si="119"/>
        <v/>
      </c>
      <c r="EZ68" s="74" t="str">
        <f t="shared" si="119"/>
        <v/>
      </c>
      <c r="FA68" s="74" t="str">
        <f t="shared" si="119"/>
        <v/>
      </c>
      <c r="FB68" s="74" t="str">
        <f t="shared" si="119"/>
        <v/>
      </c>
      <c r="FC68" s="74" t="str">
        <f t="shared" si="119"/>
        <v/>
      </c>
      <c r="FD68" s="74" t="str">
        <f t="shared" si="119"/>
        <v/>
      </c>
      <c r="FE68" s="78" t="str">
        <f t="shared" si="119"/>
        <v/>
      </c>
      <c r="FF68" s="78" t="str">
        <f t="shared" si="119"/>
        <v/>
      </c>
      <c r="FG68" s="74" t="str">
        <f t="shared" si="119"/>
        <v/>
      </c>
      <c r="FH68" s="74" t="str">
        <f t="shared" si="119"/>
        <v/>
      </c>
      <c r="FI68" s="74" t="str">
        <f t="shared" si="120"/>
        <v/>
      </c>
      <c r="FJ68" s="74" t="str">
        <f t="shared" si="120"/>
        <v/>
      </c>
      <c r="FK68" s="74" t="str">
        <f t="shared" si="120"/>
        <v/>
      </c>
      <c r="FL68" s="78" t="str">
        <f t="shared" si="120"/>
        <v/>
      </c>
      <c r="FM68" s="78" t="str">
        <f t="shared" si="120"/>
        <v/>
      </c>
      <c r="FN68" s="74" t="str">
        <f t="shared" si="120"/>
        <v/>
      </c>
      <c r="FO68" s="74" t="str">
        <f t="shared" si="120"/>
        <v/>
      </c>
      <c r="FP68" s="74" t="str">
        <f t="shared" si="120"/>
        <v/>
      </c>
      <c r="FQ68" s="74" t="str">
        <f t="shared" si="120"/>
        <v/>
      </c>
      <c r="FR68" s="74" t="str">
        <f t="shared" si="120"/>
        <v/>
      </c>
      <c r="FS68" s="78" t="str">
        <f t="shared" si="121"/>
        <v/>
      </c>
      <c r="FT68" s="78" t="str">
        <f t="shared" si="121"/>
        <v/>
      </c>
      <c r="FU68" s="74" t="str">
        <f t="shared" si="121"/>
        <v/>
      </c>
      <c r="FV68" s="74" t="str">
        <f t="shared" si="121"/>
        <v/>
      </c>
      <c r="FW68" s="74" t="str">
        <f t="shared" si="121"/>
        <v/>
      </c>
      <c r="FX68" s="74" t="str">
        <f t="shared" si="121"/>
        <v/>
      </c>
      <c r="FY68" s="74" t="str">
        <f t="shared" si="121"/>
        <v/>
      </c>
      <c r="FZ68" s="78" t="str">
        <f t="shared" si="121"/>
        <v/>
      </c>
      <c r="GA68" s="78" t="str">
        <f t="shared" si="121"/>
        <v/>
      </c>
      <c r="GB68" s="74" t="str">
        <f t="shared" si="121"/>
        <v/>
      </c>
      <c r="GC68" s="74" t="str">
        <f t="shared" si="122"/>
        <v/>
      </c>
      <c r="GD68" s="74" t="str">
        <f t="shared" si="122"/>
        <v/>
      </c>
      <c r="GE68" s="74" t="str">
        <f t="shared" si="122"/>
        <v/>
      </c>
      <c r="GF68" s="74" t="str">
        <f t="shared" si="122"/>
        <v/>
      </c>
      <c r="GG68" s="78" t="str">
        <f t="shared" si="122"/>
        <v/>
      </c>
      <c r="GH68" s="78" t="str">
        <f t="shared" si="122"/>
        <v/>
      </c>
      <c r="GI68" s="74" t="str">
        <f t="shared" si="122"/>
        <v/>
      </c>
      <c r="GJ68" s="74" t="str">
        <f t="shared" si="122"/>
        <v/>
      </c>
      <c r="GK68" s="74" t="str">
        <f t="shared" si="122"/>
        <v/>
      </c>
      <c r="GL68" s="74" t="str">
        <f t="shared" si="122"/>
        <v/>
      </c>
      <c r="GM68" s="74" t="str">
        <f t="shared" si="123"/>
        <v/>
      </c>
      <c r="GN68" s="78" t="str">
        <f t="shared" si="123"/>
        <v/>
      </c>
      <c r="GO68" s="78" t="str">
        <f t="shared" si="123"/>
        <v/>
      </c>
      <c r="GP68" s="74" t="str">
        <f t="shared" si="123"/>
        <v/>
      </c>
      <c r="GQ68" s="74" t="str">
        <f t="shared" si="123"/>
        <v/>
      </c>
      <c r="GR68" s="74" t="str">
        <f t="shared" si="123"/>
        <v/>
      </c>
      <c r="GS68" s="74" t="str">
        <f t="shared" si="123"/>
        <v/>
      </c>
      <c r="GT68" s="74" t="str">
        <f t="shared" si="123"/>
        <v/>
      </c>
      <c r="GU68" s="78" t="str">
        <f t="shared" si="123"/>
        <v/>
      </c>
      <c r="GV68" s="78" t="str">
        <f t="shared" si="123"/>
        <v/>
      </c>
      <c r="GW68" s="74" t="str">
        <f t="shared" si="124"/>
        <v/>
      </c>
      <c r="GX68" s="74" t="str">
        <f t="shared" si="124"/>
        <v/>
      </c>
      <c r="GY68" s="74" t="str">
        <f t="shared" si="124"/>
        <v/>
      </c>
      <c r="GZ68" s="74" t="str">
        <f t="shared" si="124"/>
        <v/>
      </c>
      <c r="HA68" s="74" t="str">
        <f t="shared" si="124"/>
        <v/>
      </c>
      <c r="HB68" s="78" t="str">
        <f t="shared" si="124"/>
        <v/>
      </c>
      <c r="HC68" s="78" t="str">
        <f t="shared" si="124"/>
        <v/>
      </c>
      <c r="HD68" s="74" t="str">
        <f t="shared" si="124"/>
        <v/>
      </c>
      <c r="HE68" s="74" t="str">
        <f t="shared" si="124"/>
        <v/>
      </c>
      <c r="HF68" s="74" t="str">
        <f t="shared" si="124"/>
        <v/>
      </c>
      <c r="HG68" s="74" t="str">
        <f t="shared" si="124"/>
        <v/>
      </c>
      <c r="HH68" s="74" t="str">
        <f t="shared" si="124"/>
        <v/>
      </c>
    </row>
    <row r="69" spans="1:216" x14ac:dyDescent="0.2">
      <c r="A69" s="82" t="str">
        <f>'FY1 Event Pipeline'!A10</f>
        <v>F1 Afterparty</v>
      </c>
      <c r="B69" s="83">
        <f>_xlfn.XLOOKUP(A69,'FY1 Event Pipeline'!$A$4:$A$15,'FY1 Event Pipeline'!$H$4:$H$15)</f>
        <v>46353</v>
      </c>
      <c r="C69" s="83">
        <f>_xlfn.XLOOKUP(A69,'FY1 Event Pipeline'!$A$4:$A$15,'FY1 Event Pipeline'!$J$4:$J$15)</f>
        <v>46365</v>
      </c>
      <c r="D69" s="84">
        <f>_xlfn.XLOOKUP(A69,'FY1 Event Pipeline'!$A$4:$A$15,'FY1 Event Pipeline'!$R$4:$R$15)</f>
        <v>178</v>
      </c>
      <c r="E69" s="74" t="str">
        <f t="shared" si="104"/>
        <v/>
      </c>
      <c r="F69" s="74" t="str">
        <f t="shared" si="104"/>
        <v/>
      </c>
      <c r="G69" s="78" t="str">
        <f t="shared" si="104"/>
        <v/>
      </c>
      <c r="H69" s="78" t="str">
        <f t="shared" si="104"/>
        <v/>
      </c>
      <c r="I69" s="74" t="str">
        <f t="shared" si="104"/>
        <v/>
      </c>
      <c r="J69" s="74" t="str">
        <f t="shared" si="104"/>
        <v/>
      </c>
      <c r="K69" s="74" t="str">
        <f t="shared" si="104"/>
        <v/>
      </c>
      <c r="L69" s="74" t="str">
        <f t="shared" si="104"/>
        <v/>
      </c>
      <c r="M69" s="74" t="str">
        <f t="shared" si="104"/>
        <v/>
      </c>
      <c r="N69" s="78" t="str">
        <f t="shared" si="104"/>
        <v/>
      </c>
      <c r="O69" s="78" t="str">
        <f t="shared" si="105"/>
        <v/>
      </c>
      <c r="P69" s="74" t="str">
        <f t="shared" si="105"/>
        <v/>
      </c>
      <c r="Q69" s="74" t="str">
        <f t="shared" si="105"/>
        <v/>
      </c>
      <c r="R69" s="74" t="str">
        <f t="shared" si="105"/>
        <v/>
      </c>
      <c r="S69" s="74" t="str">
        <f t="shared" si="105"/>
        <v/>
      </c>
      <c r="T69" s="74" t="str">
        <f t="shared" si="105"/>
        <v/>
      </c>
      <c r="U69" s="78" t="str">
        <f t="shared" si="105"/>
        <v/>
      </c>
      <c r="V69" s="78" t="str">
        <f t="shared" si="105"/>
        <v/>
      </c>
      <c r="W69" s="74" t="str">
        <f t="shared" si="105"/>
        <v/>
      </c>
      <c r="X69" s="74" t="str">
        <f t="shared" si="105"/>
        <v/>
      </c>
      <c r="Y69" s="74" t="str">
        <f t="shared" si="106"/>
        <v/>
      </c>
      <c r="Z69" s="74" t="str">
        <f t="shared" si="106"/>
        <v/>
      </c>
      <c r="AA69" s="74" t="str">
        <f t="shared" si="106"/>
        <v/>
      </c>
      <c r="AB69" s="78" t="str">
        <f t="shared" si="106"/>
        <v/>
      </c>
      <c r="AC69" s="78" t="str">
        <f t="shared" si="106"/>
        <v/>
      </c>
      <c r="AD69" s="74" t="str">
        <f t="shared" si="106"/>
        <v/>
      </c>
      <c r="AE69" s="74" t="str">
        <f t="shared" si="106"/>
        <v/>
      </c>
      <c r="AF69" s="74" t="str">
        <f t="shared" si="106"/>
        <v/>
      </c>
      <c r="AG69" s="74" t="str">
        <f t="shared" si="106"/>
        <v/>
      </c>
      <c r="AH69" s="74" t="str">
        <f t="shared" si="106"/>
        <v/>
      </c>
      <c r="AI69" s="78" t="str">
        <f t="shared" si="107"/>
        <v/>
      </c>
      <c r="AJ69" s="78" t="str">
        <f t="shared" si="107"/>
        <v/>
      </c>
      <c r="AK69" s="74" t="str">
        <f t="shared" si="107"/>
        <v/>
      </c>
      <c r="AL69" s="74" t="str">
        <f t="shared" si="107"/>
        <v/>
      </c>
      <c r="AM69" s="74" t="str">
        <f t="shared" si="107"/>
        <v/>
      </c>
      <c r="AN69" s="74" t="str">
        <f t="shared" si="107"/>
        <v/>
      </c>
      <c r="AO69" s="74" t="str">
        <f t="shared" si="107"/>
        <v/>
      </c>
      <c r="AP69" s="78" t="str">
        <f t="shared" si="107"/>
        <v/>
      </c>
      <c r="AQ69" s="78" t="str">
        <f t="shared" si="107"/>
        <v/>
      </c>
      <c r="AR69" s="74" t="str">
        <f t="shared" si="107"/>
        <v/>
      </c>
      <c r="AS69" s="74" t="str">
        <f t="shared" si="108"/>
        <v/>
      </c>
      <c r="AT69" s="74" t="str">
        <f t="shared" si="108"/>
        <v/>
      </c>
      <c r="AU69" s="74" t="str">
        <f t="shared" si="108"/>
        <v/>
      </c>
      <c r="AV69" s="74" t="str">
        <f t="shared" si="108"/>
        <v/>
      </c>
      <c r="AW69" s="78" t="str">
        <f t="shared" si="108"/>
        <v/>
      </c>
      <c r="AX69" s="78" t="str">
        <f t="shared" si="108"/>
        <v/>
      </c>
      <c r="AY69" s="74" t="str">
        <f t="shared" si="108"/>
        <v/>
      </c>
      <c r="AZ69" s="74" t="str">
        <f t="shared" si="108"/>
        <v/>
      </c>
      <c r="BA69" s="74" t="str">
        <f t="shared" si="108"/>
        <v/>
      </c>
      <c r="BB69" s="74" t="str">
        <f t="shared" si="108"/>
        <v/>
      </c>
      <c r="BC69" s="74" t="str">
        <f t="shared" si="109"/>
        <v/>
      </c>
      <c r="BD69" s="78" t="str">
        <f t="shared" si="109"/>
        <v/>
      </c>
      <c r="BE69" s="78" t="str">
        <f t="shared" si="109"/>
        <v/>
      </c>
      <c r="BF69" s="74" t="str">
        <f t="shared" si="109"/>
        <v/>
      </c>
      <c r="BG69" s="74" t="str">
        <f t="shared" si="109"/>
        <v/>
      </c>
      <c r="BH69" s="74" t="str">
        <f t="shared" si="109"/>
        <v/>
      </c>
      <c r="BI69" s="74" t="str">
        <f t="shared" si="109"/>
        <v/>
      </c>
      <c r="BJ69" s="75">
        <f t="shared" si="109"/>
        <v>178</v>
      </c>
      <c r="BK69" s="75">
        <f t="shared" si="109"/>
        <v>178</v>
      </c>
      <c r="BL69" s="75">
        <f t="shared" si="109"/>
        <v>178</v>
      </c>
      <c r="BM69" s="75">
        <f t="shared" si="110"/>
        <v>178</v>
      </c>
      <c r="BN69" s="75">
        <f t="shared" si="110"/>
        <v>178</v>
      </c>
      <c r="BO69" s="75">
        <f t="shared" si="110"/>
        <v>178</v>
      </c>
      <c r="BP69" s="75">
        <f t="shared" si="110"/>
        <v>178</v>
      </c>
      <c r="BQ69" s="76">
        <f t="shared" si="110"/>
        <v>178</v>
      </c>
      <c r="BR69" s="76">
        <f t="shared" si="110"/>
        <v>178</v>
      </c>
      <c r="BS69" s="76">
        <f t="shared" si="110"/>
        <v>178</v>
      </c>
      <c r="BT69" s="77">
        <f t="shared" si="110"/>
        <v>178</v>
      </c>
      <c r="BU69" s="77">
        <f t="shared" si="110"/>
        <v>178</v>
      </c>
      <c r="BV69" s="77">
        <f t="shared" si="110"/>
        <v>178</v>
      </c>
      <c r="BW69" s="74" t="str">
        <f t="shared" si="111"/>
        <v/>
      </c>
      <c r="BX69" s="74" t="str">
        <f t="shared" si="111"/>
        <v/>
      </c>
      <c r="BY69" s="78" t="str">
        <f t="shared" si="111"/>
        <v/>
      </c>
      <c r="BZ69" s="78" t="str">
        <f t="shared" si="111"/>
        <v/>
      </c>
      <c r="CA69" s="74" t="str">
        <f t="shared" si="111"/>
        <v/>
      </c>
      <c r="CB69" s="74" t="str">
        <f t="shared" si="111"/>
        <v/>
      </c>
      <c r="CC69" s="74" t="str">
        <f t="shared" si="111"/>
        <v/>
      </c>
      <c r="CD69" s="74" t="str">
        <f t="shared" si="111"/>
        <v/>
      </c>
      <c r="CE69" s="74" t="str">
        <f t="shared" si="111"/>
        <v/>
      </c>
      <c r="CF69" s="78" t="str">
        <f t="shared" si="111"/>
        <v/>
      </c>
      <c r="CG69" s="78" t="str">
        <f t="shared" si="112"/>
        <v/>
      </c>
      <c r="CH69" s="74" t="str">
        <f t="shared" si="112"/>
        <v/>
      </c>
      <c r="CI69" s="74" t="str">
        <f t="shared" si="112"/>
        <v/>
      </c>
      <c r="CJ69" s="74" t="str">
        <f t="shared" si="112"/>
        <v/>
      </c>
      <c r="CK69" s="74" t="str">
        <f t="shared" si="112"/>
        <v/>
      </c>
      <c r="CL69" s="74" t="str">
        <f t="shared" si="112"/>
        <v/>
      </c>
      <c r="CM69" s="78" t="str">
        <f t="shared" si="112"/>
        <v/>
      </c>
      <c r="CN69" s="78" t="str">
        <f t="shared" si="112"/>
        <v/>
      </c>
      <c r="CO69" s="74" t="str">
        <f t="shared" si="112"/>
        <v/>
      </c>
      <c r="CP69" s="74" t="str">
        <f t="shared" si="112"/>
        <v/>
      </c>
      <c r="CQ69" s="74" t="str">
        <f t="shared" si="113"/>
        <v/>
      </c>
      <c r="CR69" s="74" t="str">
        <f t="shared" si="113"/>
        <v/>
      </c>
      <c r="CS69" s="74" t="str">
        <f t="shared" si="113"/>
        <v/>
      </c>
      <c r="CT69" s="78" t="str">
        <f t="shared" si="113"/>
        <v/>
      </c>
      <c r="CU69" s="78" t="str">
        <f t="shared" si="113"/>
        <v/>
      </c>
      <c r="CV69" s="74" t="str">
        <f t="shared" si="113"/>
        <v/>
      </c>
      <c r="CW69" s="74" t="str">
        <f t="shared" si="113"/>
        <v/>
      </c>
      <c r="CX69" s="74" t="str">
        <f t="shared" si="113"/>
        <v/>
      </c>
      <c r="CY69" s="74" t="str">
        <f t="shared" si="113"/>
        <v/>
      </c>
      <c r="CZ69" s="74" t="str">
        <f t="shared" si="113"/>
        <v/>
      </c>
      <c r="DA69" s="78" t="str">
        <f t="shared" si="114"/>
        <v/>
      </c>
      <c r="DB69" s="78" t="str">
        <f t="shared" si="114"/>
        <v/>
      </c>
      <c r="DC69" s="74" t="str">
        <f t="shared" si="114"/>
        <v/>
      </c>
      <c r="DD69" s="74" t="str">
        <f t="shared" si="114"/>
        <v/>
      </c>
      <c r="DE69" s="74" t="str">
        <f t="shared" si="114"/>
        <v/>
      </c>
      <c r="DF69" s="74" t="str">
        <f t="shared" si="114"/>
        <v/>
      </c>
      <c r="DG69" s="74" t="str">
        <f t="shared" si="114"/>
        <v/>
      </c>
      <c r="DH69" s="78" t="str">
        <f t="shared" si="114"/>
        <v/>
      </c>
      <c r="DI69" s="78" t="str">
        <f t="shared" si="114"/>
        <v/>
      </c>
      <c r="DJ69" s="74" t="str">
        <f t="shared" si="114"/>
        <v/>
      </c>
      <c r="DK69" s="74" t="str">
        <f t="shared" si="115"/>
        <v/>
      </c>
      <c r="DL69" s="74" t="str">
        <f t="shared" si="115"/>
        <v/>
      </c>
      <c r="DM69" s="74" t="str">
        <f t="shared" si="115"/>
        <v/>
      </c>
      <c r="DN69" s="74" t="str">
        <f t="shared" si="115"/>
        <v/>
      </c>
      <c r="DO69" s="78" t="str">
        <f t="shared" si="115"/>
        <v/>
      </c>
      <c r="DP69" s="78" t="str">
        <f t="shared" si="115"/>
        <v/>
      </c>
      <c r="DQ69" s="74" t="str">
        <f t="shared" si="115"/>
        <v/>
      </c>
      <c r="DR69" s="74" t="str">
        <f t="shared" si="115"/>
        <v/>
      </c>
      <c r="DS69" s="74" t="str">
        <f t="shared" si="115"/>
        <v/>
      </c>
      <c r="DT69" s="74" t="str">
        <f t="shared" si="115"/>
        <v/>
      </c>
      <c r="DU69" s="74" t="str">
        <f t="shared" si="116"/>
        <v/>
      </c>
      <c r="DV69" s="78" t="str">
        <f t="shared" si="116"/>
        <v/>
      </c>
      <c r="DW69" s="78" t="str">
        <f t="shared" si="116"/>
        <v/>
      </c>
      <c r="DX69" s="74" t="str">
        <f t="shared" si="116"/>
        <v/>
      </c>
      <c r="DY69" s="74" t="str">
        <f t="shared" si="116"/>
        <v/>
      </c>
      <c r="DZ69" s="74" t="str">
        <f t="shared" si="116"/>
        <v/>
      </c>
      <c r="EA69" s="74" t="str">
        <f t="shared" si="116"/>
        <v/>
      </c>
      <c r="EB69" s="74" t="str">
        <f t="shared" si="116"/>
        <v/>
      </c>
      <c r="EC69" s="78" t="str">
        <f t="shared" si="116"/>
        <v/>
      </c>
      <c r="ED69" s="78" t="str">
        <f t="shared" si="116"/>
        <v/>
      </c>
      <c r="EE69" s="74" t="str">
        <f t="shared" si="117"/>
        <v/>
      </c>
      <c r="EF69" s="74" t="str">
        <f t="shared" si="117"/>
        <v/>
      </c>
      <c r="EG69" s="74" t="str">
        <f t="shared" si="117"/>
        <v/>
      </c>
      <c r="EH69" s="74" t="str">
        <f t="shared" si="117"/>
        <v/>
      </c>
      <c r="EI69" s="74" t="str">
        <f t="shared" si="117"/>
        <v/>
      </c>
      <c r="EJ69" s="78" t="str">
        <f t="shared" si="117"/>
        <v/>
      </c>
      <c r="EK69" s="78" t="str">
        <f t="shared" si="117"/>
        <v/>
      </c>
      <c r="EL69" s="74" t="str">
        <f t="shared" si="117"/>
        <v/>
      </c>
      <c r="EM69" s="74" t="str">
        <f t="shared" si="117"/>
        <v/>
      </c>
      <c r="EN69" s="74" t="str">
        <f t="shared" si="117"/>
        <v/>
      </c>
      <c r="EO69" s="74" t="str">
        <f t="shared" si="118"/>
        <v/>
      </c>
      <c r="EP69" s="74" t="str">
        <f t="shared" si="118"/>
        <v/>
      </c>
      <c r="EQ69" s="78" t="str">
        <f t="shared" si="118"/>
        <v/>
      </c>
      <c r="ER69" s="78" t="str">
        <f t="shared" si="118"/>
        <v/>
      </c>
      <c r="ES69" s="74" t="str">
        <f t="shared" si="118"/>
        <v/>
      </c>
      <c r="ET69" s="74" t="str">
        <f t="shared" si="118"/>
        <v/>
      </c>
      <c r="EU69" s="74" t="str">
        <f t="shared" si="118"/>
        <v/>
      </c>
      <c r="EV69" s="74" t="str">
        <f t="shared" si="118"/>
        <v/>
      </c>
      <c r="EW69" s="74" t="str">
        <f t="shared" si="118"/>
        <v/>
      </c>
      <c r="EX69" s="78" t="str">
        <f t="shared" si="118"/>
        <v/>
      </c>
      <c r="EY69" s="78" t="str">
        <f t="shared" si="119"/>
        <v/>
      </c>
      <c r="EZ69" s="74" t="str">
        <f t="shared" si="119"/>
        <v/>
      </c>
      <c r="FA69" s="74" t="str">
        <f t="shared" si="119"/>
        <v/>
      </c>
      <c r="FB69" s="74" t="str">
        <f t="shared" si="119"/>
        <v/>
      </c>
      <c r="FC69" s="74" t="str">
        <f t="shared" si="119"/>
        <v/>
      </c>
      <c r="FD69" s="74" t="str">
        <f t="shared" si="119"/>
        <v/>
      </c>
      <c r="FE69" s="78" t="str">
        <f t="shared" si="119"/>
        <v/>
      </c>
      <c r="FF69" s="78" t="str">
        <f t="shared" si="119"/>
        <v/>
      </c>
      <c r="FG69" s="74" t="str">
        <f t="shared" si="119"/>
        <v/>
      </c>
      <c r="FH69" s="74" t="str">
        <f t="shared" si="119"/>
        <v/>
      </c>
      <c r="FI69" s="74" t="str">
        <f t="shared" si="120"/>
        <v/>
      </c>
      <c r="FJ69" s="74" t="str">
        <f t="shared" si="120"/>
        <v/>
      </c>
      <c r="FK69" s="74" t="str">
        <f t="shared" si="120"/>
        <v/>
      </c>
      <c r="FL69" s="78" t="str">
        <f t="shared" si="120"/>
        <v/>
      </c>
      <c r="FM69" s="78" t="str">
        <f t="shared" si="120"/>
        <v/>
      </c>
      <c r="FN69" s="74" t="str">
        <f t="shared" si="120"/>
        <v/>
      </c>
      <c r="FO69" s="74" t="str">
        <f t="shared" si="120"/>
        <v/>
      </c>
      <c r="FP69" s="74" t="str">
        <f t="shared" si="120"/>
        <v/>
      </c>
      <c r="FQ69" s="74" t="str">
        <f t="shared" si="120"/>
        <v/>
      </c>
      <c r="FR69" s="74" t="str">
        <f t="shared" si="120"/>
        <v/>
      </c>
      <c r="FS69" s="78" t="str">
        <f t="shared" si="121"/>
        <v/>
      </c>
      <c r="FT69" s="78" t="str">
        <f t="shared" si="121"/>
        <v/>
      </c>
      <c r="FU69" s="74" t="str">
        <f t="shared" si="121"/>
        <v/>
      </c>
      <c r="FV69" s="74" t="str">
        <f t="shared" si="121"/>
        <v/>
      </c>
      <c r="FW69" s="74" t="str">
        <f t="shared" si="121"/>
        <v/>
      </c>
      <c r="FX69" s="74" t="str">
        <f t="shared" si="121"/>
        <v/>
      </c>
      <c r="FY69" s="74" t="str">
        <f t="shared" si="121"/>
        <v/>
      </c>
      <c r="FZ69" s="78" t="str">
        <f t="shared" si="121"/>
        <v/>
      </c>
      <c r="GA69" s="78" t="str">
        <f t="shared" si="121"/>
        <v/>
      </c>
      <c r="GB69" s="74" t="str">
        <f t="shared" si="121"/>
        <v/>
      </c>
      <c r="GC69" s="74" t="str">
        <f t="shared" si="122"/>
        <v/>
      </c>
      <c r="GD69" s="74" t="str">
        <f t="shared" si="122"/>
        <v/>
      </c>
      <c r="GE69" s="74" t="str">
        <f t="shared" si="122"/>
        <v/>
      </c>
      <c r="GF69" s="74" t="str">
        <f t="shared" si="122"/>
        <v/>
      </c>
      <c r="GG69" s="78" t="str">
        <f t="shared" si="122"/>
        <v/>
      </c>
      <c r="GH69" s="78" t="str">
        <f t="shared" si="122"/>
        <v/>
      </c>
      <c r="GI69" s="74" t="str">
        <f t="shared" si="122"/>
        <v/>
      </c>
      <c r="GJ69" s="74" t="str">
        <f t="shared" si="122"/>
        <v/>
      </c>
      <c r="GK69" s="74" t="str">
        <f t="shared" si="122"/>
        <v/>
      </c>
      <c r="GL69" s="74" t="str">
        <f t="shared" si="122"/>
        <v/>
      </c>
      <c r="GM69" s="74" t="str">
        <f t="shared" si="123"/>
        <v/>
      </c>
      <c r="GN69" s="78" t="str">
        <f t="shared" si="123"/>
        <v/>
      </c>
      <c r="GO69" s="78" t="str">
        <f t="shared" si="123"/>
        <v/>
      </c>
      <c r="GP69" s="74" t="str">
        <f t="shared" si="123"/>
        <v/>
      </c>
      <c r="GQ69" s="74" t="str">
        <f t="shared" si="123"/>
        <v/>
      </c>
      <c r="GR69" s="74" t="str">
        <f t="shared" si="123"/>
        <v/>
      </c>
      <c r="GS69" s="74" t="str">
        <f t="shared" si="123"/>
        <v/>
      </c>
      <c r="GT69" s="74" t="str">
        <f t="shared" si="123"/>
        <v/>
      </c>
      <c r="GU69" s="78" t="str">
        <f t="shared" si="123"/>
        <v/>
      </c>
      <c r="GV69" s="78" t="str">
        <f t="shared" si="123"/>
        <v/>
      </c>
      <c r="GW69" s="74" t="str">
        <f t="shared" si="124"/>
        <v/>
      </c>
      <c r="GX69" s="74" t="str">
        <f t="shared" si="124"/>
        <v/>
      </c>
      <c r="GY69" s="74" t="str">
        <f t="shared" si="124"/>
        <v/>
      </c>
      <c r="GZ69" s="74" t="str">
        <f t="shared" si="124"/>
        <v/>
      </c>
      <c r="HA69" s="74" t="str">
        <f t="shared" si="124"/>
        <v/>
      </c>
      <c r="HB69" s="78" t="str">
        <f t="shared" si="124"/>
        <v/>
      </c>
      <c r="HC69" s="78" t="str">
        <f t="shared" si="124"/>
        <v/>
      </c>
      <c r="HD69" s="74" t="str">
        <f t="shared" si="124"/>
        <v/>
      </c>
      <c r="HE69" s="74" t="str">
        <f t="shared" si="124"/>
        <v/>
      </c>
      <c r="HF69" s="74" t="str">
        <f t="shared" si="124"/>
        <v/>
      </c>
      <c r="HG69" s="74" t="str">
        <f t="shared" si="124"/>
        <v/>
      </c>
      <c r="HH69" s="74" t="str">
        <f t="shared" si="124"/>
        <v/>
      </c>
    </row>
    <row r="70" spans="1:216" x14ac:dyDescent="0.2">
      <c r="A70" s="82" t="str">
        <f>'FY1 Event Pipeline'!A11</f>
        <v>MOTN AUH</v>
      </c>
      <c r="B70" s="83">
        <f>_xlfn.XLOOKUP(A70,'FY1 Event Pipeline'!$A$4:$A$15,'FY1 Event Pipeline'!$H$4:$H$15)</f>
        <v>46346</v>
      </c>
      <c r="C70" s="83">
        <f>_xlfn.XLOOKUP(A70,'FY1 Event Pipeline'!$A$4:$A$15,'FY1 Event Pipeline'!$J$4:$J$15)</f>
        <v>46398</v>
      </c>
      <c r="D70" s="84">
        <f>_xlfn.XLOOKUP(A70,'FY1 Event Pipeline'!$A$4:$A$15,'FY1 Event Pipeline'!$R$4:$R$15)</f>
        <v>200</v>
      </c>
      <c r="E70" s="74" t="str">
        <f t="shared" si="104"/>
        <v/>
      </c>
      <c r="F70" s="74" t="str">
        <f t="shared" si="104"/>
        <v/>
      </c>
      <c r="G70" s="78" t="str">
        <f t="shared" si="104"/>
        <v/>
      </c>
      <c r="H70" s="78" t="str">
        <f t="shared" si="104"/>
        <v/>
      </c>
      <c r="I70" s="74" t="str">
        <f t="shared" si="104"/>
        <v/>
      </c>
      <c r="J70" s="74" t="str">
        <f t="shared" si="104"/>
        <v/>
      </c>
      <c r="K70" s="74" t="str">
        <f t="shared" si="104"/>
        <v/>
      </c>
      <c r="L70" s="74" t="str">
        <f t="shared" si="104"/>
        <v/>
      </c>
      <c r="M70" s="74" t="str">
        <f t="shared" si="104"/>
        <v/>
      </c>
      <c r="N70" s="78" t="str">
        <f t="shared" si="104"/>
        <v/>
      </c>
      <c r="O70" s="78" t="str">
        <f t="shared" si="105"/>
        <v/>
      </c>
      <c r="P70" s="74" t="str">
        <f t="shared" si="105"/>
        <v/>
      </c>
      <c r="Q70" s="74" t="str">
        <f t="shared" si="105"/>
        <v/>
      </c>
      <c r="R70" s="74" t="str">
        <f t="shared" si="105"/>
        <v/>
      </c>
      <c r="S70" s="74" t="str">
        <f t="shared" si="105"/>
        <v/>
      </c>
      <c r="T70" s="74" t="str">
        <f t="shared" si="105"/>
        <v/>
      </c>
      <c r="U70" s="78" t="str">
        <f t="shared" si="105"/>
        <v/>
      </c>
      <c r="V70" s="78" t="str">
        <f t="shared" si="105"/>
        <v/>
      </c>
      <c r="W70" s="74" t="str">
        <f t="shared" si="105"/>
        <v/>
      </c>
      <c r="X70" s="74" t="str">
        <f t="shared" si="105"/>
        <v/>
      </c>
      <c r="Y70" s="74" t="str">
        <f t="shared" si="106"/>
        <v/>
      </c>
      <c r="Z70" s="74" t="str">
        <f t="shared" si="106"/>
        <v/>
      </c>
      <c r="AA70" s="74" t="str">
        <f t="shared" si="106"/>
        <v/>
      </c>
      <c r="AB70" s="78" t="str">
        <f t="shared" si="106"/>
        <v/>
      </c>
      <c r="AC70" s="78" t="str">
        <f t="shared" si="106"/>
        <v/>
      </c>
      <c r="AD70" s="74" t="str">
        <f t="shared" si="106"/>
        <v/>
      </c>
      <c r="AE70" s="74" t="str">
        <f t="shared" si="106"/>
        <v/>
      </c>
      <c r="AF70" s="74" t="str">
        <f t="shared" si="106"/>
        <v/>
      </c>
      <c r="AG70" s="74" t="str">
        <f t="shared" si="106"/>
        <v/>
      </c>
      <c r="AH70" s="74" t="str">
        <f t="shared" si="106"/>
        <v/>
      </c>
      <c r="AI70" s="78" t="str">
        <f t="shared" si="107"/>
        <v/>
      </c>
      <c r="AJ70" s="78" t="str">
        <f t="shared" si="107"/>
        <v/>
      </c>
      <c r="AK70" s="74" t="str">
        <f t="shared" si="107"/>
        <v/>
      </c>
      <c r="AL70" s="74" t="str">
        <f t="shared" si="107"/>
        <v/>
      </c>
      <c r="AM70" s="74" t="str">
        <f t="shared" si="107"/>
        <v/>
      </c>
      <c r="AN70" s="74" t="str">
        <f t="shared" si="107"/>
        <v/>
      </c>
      <c r="AO70" s="74" t="str">
        <f t="shared" si="107"/>
        <v/>
      </c>
      <c r="AP70" s="78" t="str">
        <f t="shared" si="107"/>
        <v/>
      </c>
      <c r="AQ70" s="78" t="str">
        <f t="shared" si="107"/>
        <v/>
      </c>
      <c r="AR70" s="74" t="str">
        <f t="shared" si="107"/>
        <v/>
      </c>
      <c r="AS70" s="74" t="str">
        <f t="shared" si="108"/>
        <v/>
      </c>
      <c r="AT70" s="74" t="str">
        <f t="shared" si="108"/>
        <v/>
      </c>
      <c r="AU70" s="74" t="str">
        <f t="shared" si="108"/>
        <v/>
      </c>
      <c r="AV70" s="74" t="str">
        <f t="shared" si="108"/>
        <v/>
      </c>
      <c r="AW70" s="78" t="str">
        <f t="shared" si="108"/>
        <v/>
      </c>
      <c r="AX70" s="78" t="str">
        <f t="shared" si="108"/>
        <v/>
      </c>
      <c r="AY70" s="74" t="str">
        <f t="shared" si="108"/>
        <v/>
      </c>
      <c r="AZ70" s="74" t="str">
        <f t="shared" si="108"/>
        <v/>
      </c>
      <c r="BA70" s="74" t="str">
        <f t="shared" si="108"/>
        <v/>
      </c>
      <c r="BB70" s="74" t="str">
        <f t="shared" si="108"/>
        <v/>
      </c>
      <c r="BC70" s="75">
        <f t="shared" si="109"/>
        <v>200</v>
      </c>
      <c r="BD70" s="75">
        <f t="shared" si="109"/>
        <v>200</v>
      </c>
      <c r="BE70" s="75">
        <f t="shared" si="109"/>
        <v>200</v>
      </c>
      <c r="BF70" s="75">
        <f t="shared" si="109"/>
        <v>200</v>
      </c>
      <c r="BG70" s="75">
        <f t="shared" si="109"/>
        <v>200</v>
      </c>
      <c r="BH70" s="75">
        <f t="shared" si="109"/>
        <v>200</v>
      </c>
      <c r="BI70" s="75">
        <f t="shared" si="109"/>
        <v>200</v>
      </c>
      <c r="BJ70" s="75">
        <f t="shared" si="109"/>
        <v>200</v>
      </c>
      <c r="BK70" s="75">
        <f t="shared" si="109"/>
        <v>200</v>
      </c>
      <c r="BL70" s="75">
        <f t="shared" si="109"/>
        <v>200</v>
      </c>
      <c r="BM70" s="75">
        <f t="shared" si="110"/>
        <v>200</v>
      </c>
      <c r="BN70" s="75">
        <f t="shared" si="110"/>
        <v>200</v>
      </c>
      <c r="BO70" s="75">
        <f t="shared" si="110"/>
        <v>200</v>
      </c>
      <c r="BP70" s="75">
        <f t="shared" si="110"/>
        <v>200</v>
      </c>
      <c r="BQ70" s="75">
        <f t="shared" si="110"/>
        <v>200</v>
      </c>
      <c r="BR70" s="75">
        <f t="shared" si="110"/>
        <v>200</v>
      </c>
      <c r="BS70" s="75">
        <f t="shared" si="110"/>
        <v>200</v>
      </c>
      <c r="BT70" s="75">
        <f t="shared" si="110"/>
        <v>200</v>
      </c>
      <c r="BU70" s="75">
        <f t="shared" si="110"/>
        <v>200</v>
      </c>
      <c r="BV70" s="75">
        <f t="shared" si="110"/>
        <v>200</v>
      </c>
      <c r="BW70" s="76">
        <f t="shared" si="111"/>
        <v>200</v>
      </c>
      <c r="BX70" s="76">
        <f t="shared" si="111"/>
        <v>200</v>
      </c>
      <c r="BY70" s="76">
        <f t="shared" si="111"/>
        <v>200</v>
      </c>
      <c r="BZ70" s="76">
        <f t="shared" si="111"/>
        <v>200</v>
      </c>
      <c r="CA70" s="76">
        <f t="shared" si="111"/>
        <v>200</v>
      </c>
      <c r="CB70" s="76">
        <f t="shared" si="111"/>
        <v>200</v>
      </c>
      <c r="CC70" s="76">
        <f t="shared" si="111"/>
        <v>200</v>
      </c>
      <c r="CD70" s="76">
        <f t="shared" si="111"/>
        <v>200</v>
      </c>
      <c r="CE70" s="76">
        <f t="shared" si="111"/>
        <v>200</v>
      </c>
      <c r="CF70" s="76">
        <f t="shared" si="111"/>
        <v>200</v>
      </c>
      <c r="CG70" s="76">
        <f t="shared" si="112"/>
        <v>200</v>
      </c>
      <c r="CH70" s="76">
        <f t="shared" si="112"/>
        <v>200</v>
      </c>
      <c r="CI70" s="76">
        <f t="shared" si="112"/>
        <v>200</v>
      </c>
      <c r="CJ70" s="76">
        <f t="shared" si="112"/>
        <v>200</v>
      </c>
      <c r="CK70" s="76">
        <f t="shared" si="112"/>
        <v>200</v>
      </c>
      <c r="CL70" s="76">
        <f t="shared" si="112"/>
        <v>200</v>
      </c>
      <c r="CM70" s="76">
        <f t="shared" si="112"/>
        <v>200</v>
      </c>
      <c r="CN70" s="76">
        <f t="shared" si="112"/>
        <v>200</v>
      </c>
      <c r="CO70" s="76">
        <f t="shared" si="112"/>
        <v>200</v>
      </c>
      <c r="CP70" s="76">
        <f t="shared" si="112"/>
        <v>200</v>
      </c>
      <c r="CQ70" s="76">
        <f t="shared" si="113"/>
        <v>200</v>
      </c>
      <c r="CR70" s="76">
        <f t="shared" si="113"/>
        <v>200</v>
      </c>
      <c r="CS70" s="76">
        <f t="shared" si="113"/>
        <v>200</v>
      </c>
      <c r="CT70" s="76">
        <f t="shared" si="113"/>
        <v>200</v>
      </c>
      <c r="CU70" s="76">
        <f t="shared" si="113"/>
        <v>200</v>
      </c>
      <c r="CV70" s="76">
        <f t="shared" si="113"/>
        <v>200</v>
      </c>
      <c r="CW70" s="77">
        <f t="shared" si="113"/>
        <v>200</v>
      </c>
      <c r="CX70" s="77">
        <f t="shared" si="113"/>
        <v>200</v>
      </c>
      <c r="CY70" s="77">
        <f t="shared" si="113"/>
        <v>200</v>
      </c>
      <c r="CZ70" s="77">
        <f t="shared" si="113"/>
        <v>200</v>
      </c>
      <c r="DA70" s="77">
        <f t="shared" si="114"/>
        <v>200</v>
      </c>
      <c r="DB70" s="77">
        <f t="shared" si="114"/>
        <v>200</v>
      </c>
      <c r="DC70" s="77">
        <f t="shared" si="114"/>
        <v>200</v>
      </c>
      <c r="DD70" s="74" t="str">
        <f t="shared" si="114"/>
        <v/>
      </c>
      <c r="DE70" s="74" t="str">
        <f t="shared" si="114"/>
        <v/>
      </c>
      <c r="DF70" s="74" t="str">
        <f t="shared" si="114"/>
        <v/>
      </c>
      <c r="DG70" s="74" t="str">
        <f t="shared" si="114"/>
        <v/>
      </c>
      <c r="DH70" s="78" t="str">
        <f t="shared" si="114"/>
        <v/>
      </c>
      <c r="DI70" s="78" t="str">
        <f t="shared" si="114"/>
        <v/>
      </c>
      <c r="DJ70" s="74" t="str">
        <f t="shared" si="114"/>
        <v/>
      </c>
      <c r="DK70" s="74" t="str">
        <f t="shared" si="115"/>
        <v/>
      </c>
      <c r="DL70" s="74" t="str">
        <f t="shared" si="115"/>
        <v/>
      </c>
      <c r="DM70" s="74" t="str">
        <f t="shared" si="115"/>
        <v/>
      </c>
      <c r="DN70" s="74" t="str">
        <f t="shared" si="115"/>
        <v/>
      </c>
      <c r="DO70" s="78" t="str">
        <f t="shared" si="115"/>
        <v/>
      </c>
      <c r="DP70" s="78" t="str">
        <f t="shared" si="115"/>
        <v/>
      </c>
      <c r="DQ70" s="74" t="str">
        <f t="shared" si="115"/>
        <v/>
      </c>
      <c r="DR70" s="74" t="str">
        <f t="shared" si="115"/>
        <v/>
      </c>
      <c r="DS70" s="74" t="str">
        <f t="shared" si="115"/>
        <v/>
      </c>
      <c r="DT70" s="74" t="str">
        <f t="shared" si="115"/>
        <v/>
      </c>
      <c r="DU70" s="74" t="str">
        <f t="shared" si="116"/>
        <v/>
      </c>
      <c r="DV70" s="78" t="str">
        <f t="shared" si="116"/>
        <v/>
      </c>
      <c r="DW70" s="78" t="str">
        <f t="shared" si="116"/>
        <v/>
      </c>
      <c r="DX70" s="74" t="str">
        <f t="shared" si="116"/>
        <v/>
      </c>
      <c r="DY70" s="74" t="str">
        <f t="shared" si="116"/>
        <v/>
      </c>
      <c r="DZ70" s="74" t="str">
        <f t="shared" si="116"/>
        <v/>
      </c>
      <c r="EA70" s="74" t="str">
        <f t="shared" si="116"/>
        <v/>
      </c>
      <c r="EB70" s="74" t="str">
        <f t="shared" si="116"/>
        <v/>
      </c>
      <c r="EC70" s="78" t="str">
        <f t="shared" si="116"/>
        <v/>
      </c>
      <c r="ED70" s="78" t="str">
        <f t="shared" si="116"/>
        <v/>
      </c>
      <c r="EE70" s="74" t="str">
        <f t="shared" si="117"/>
        <v/>
      </c>
      <c r="EF70" s="74" t="str">
        <f t="shared" si="117"/>
        <v/>
      </c>
      <c r="EG70" s="74" t="str">
        <f t="shared" si="117"/>
        <v/>
      </c>
      <c r="EH70" s="74" t="str">
        <f t="shared" si="117"/>
        <v/>
      </c>
      <c r="EI70" s="74" t="str">
        <f t="shared" si="117"/>
        <v/>
      </c>
      <c r="EJ70" s="78" t="str">
        <f t="shared" si="117"/>
        <v/>
      </c>
      <c r="EK70" s="78" t="str">
        <f t="shared" si="117"/>
        <v/>
      </c>
      <c r="EL70" s="74" t="str">
        <f t="shared" si="117"/>
        <v/>
      </c>
      <c r="EM70" s="74" t="str">
        <f t="shared" si="117"/>
        <v/>
      </c>
      <c r="EN70" s="74" t="str">
        <f t="shared" si="117"/>
        <v/>
      </c>
      <c r="EO70" s="74" t="str">
        <f t="shared" si="118"/>
        <v/>
      </c>
      <c r="EP70" s="74" t="str">
        <f t="shared" si="118"/>
        <v/>
      </c>
      <c r="EQ70" s="78" t="str">
        <f t="shared" si="118"/>
        <v/>
      </c>
      <c r="ER70" s="78" t="str">
        <f t="shared" si="118"/>
        <v/>
      </c>
      <c r="ES70" s="74" t="str">
        <f t="shared" si="118"/>
        <v/>
      </c>
      <c r="ET70" s="74" t="str">
        <f t="shared" si="118"/>
        <v/>
      </c>
      <c r="EU70" s="74" t="str">
        <f t="shared" si="118"/>
        <v/>
      </c>
      <c r="EV70" s="74" t="str">
        <f t="shared" si="118"/>
        <v/>
      </c>
      <c r="EW70" s="74" t="str">
        <f t="shared" si="118"/>
        <v/>
      </c>
      <c r="EX70" s="78" t="str">
        <f t="shared" si="118"/>
        <v/>
      </c>
      <c r="EY70" s="78" t="str">
        <f t="shared" si="119"/>
        <v/>
      </c>
      <c r="EZ70" s="74" t="str">
        <f t="shared" si="119"/>
        <v/>
      </c>
      <c r="FA70" s="74" t="str">
        <f t="shared" si="119"/>
        <v/>
      </c>
      <c r="FB70" s="74" t="str">
        <f t="shared" si="119"/>
        <v/>
      </c>
      <c r="FC70" s="74" t="str">
        <f t="shared" si="119"/>
        <v/>
      </c>
      <c r="FD70" s="74" t="str">
        <f t="shared" si="119"/>
        <v/>
      </c>
      <c r="FE70" s="78" t="str">
        <f t="shared" si="119"/>
        <v/>
      </c>
      <c r="FF70" s="78" t="str">
        <f t="shared" si="119"/>
        <v/>
      </c>
      <c r="FG70" s="74" t="str">
        <f t="shared" si="119"/>
        <v/>
      </c>
      <c r="FH70" s="74" t="str">
        <f t="shared" si="119"/>
        <v/>
      </c>
      <c r="FI70" s="74" t="str">
        <f t="shared" si="120"/>
        <v/>
      </c>
      <c r="FJ70" s="74" t="str">
        <f t="shared" si="120"/>
        <v/>
      </c>
      <c r="FK70" s="74" t="str">
        <f t="shared" si="120"/>
        <v/>
      </c>
      <c r="FL70" s="78" t="str">
        <f t="shared" si="120"/>
        <v/>
      </c>
      <c r="FM70" s="78" t="str">
        <f t="shared" si="120"/>
        <v/>
      </c>
      <c r="FN70" s="74" t="str">
        <f t="shared" si="120"/>
        <v/>
      </c>
      <c r="FO70" s="74" t="str">
        <f t="shared" si="120"/>
        <v/>
      </c>
      <c r="FP70" s="74" t="str">
        <f t="shared" si="120"/>
        <v/>
      </c>
      <c r="FQ70" s="74" t="str">
        <f t="shared" si="120"/>
        <v/>
      </c>
      <c r="FR70" s="74" t="str">
        <f t="shared" si="120"/>
        <v/>
      </c>
      <c r="FS70" s="78" t="str">
        <f t="shared" si="121"/>
        <v/>
      </c>
      <c r="FT70" s="78" t="str">
        <f t="shared" si="121"/>
        <v/>
      </c>
      <c r="FU70" s="74" t="str">
        <f t="shared" si="121"/>
        <v/>
      </c>
      <c r="FV70" s="74" t="str">
        <f t="shared" si="121"/>
        <v/>
      </c>
      <c r="FW70" s="74" t="str">
        <f t="shared" si="121"/>
        <v/>
      </c>
      <c r="FX70" s="74" t="str">
        <f t="shared" si="121"/>
        <v/>
      </c>
      <c r="FY70" s="74" t="str">
        <f t="shared" si="121"/>
        <v/>
      </c>
      <c r="FZ70" s="78" t="str">
        <f t="shared" si="121"/>
        <v/>
      </c>
      <c r="GA70" s="78" t="str">
        <f t="shared" si="121"/>
        <v/>
      </c>
      <c r="GB70" s="74" t="str">
        <f t="shared" si="121"/>
        <v/>
      </c>
      <c r="GC70" s="74" t="str">
        <f t="shared" si="122"/>
        <v/>
      </c>
      <c r="GD70" s="74" t="str">
        <f t="shared" si="122"/>
        <v/>
      </c>
      <c r="GE70" s="74" t="str">
        <f t="shared" si="122"/>
        <v/>
      </c>
      <c r="GF70" s="74" t="str">
        <f t="shared" si="122"/>
        <v/>
      </c>
      <c r="GG70" s="78" t="str">
        <f t="shared" si="122"/>
        <v/>
      </c>
      <c r="GH70" s="78" t="str">
        <f t="shared" si="122"/>
        <v/>
      </c>
      <c r="GI70" s="74" t="str">
        <f t="shared" si="122"/>
        <v/>
      </c>
      <c r="GJ70" s="74" t="str">
        <f t="shared" si="122"/>
        <v/>
      </c>
      <c r="GK70" s="74" t="str">
        <f t="shared" si="122"/>
        <v/>
      </c>
      <c r="GL70" s="74" t="str">
        <f t="shared" si="122"/>
        <v/>
      </c>
      <c r="GM70" s="74" t="str">
        <f t="shared" si="123"/>
        <v/>
      </c>
      <c r="GN70" s="78" t="str">
        <f t="shared" si="123"/>
        <v/>
      </c>
      <c r="GO70" s="78" t="str">
        <f t="shared" si="123"/>
        <v/>
      </c>
      <c r="GP70" s="74" t="str">
        <f t="shared" si="123"/>
        <v/>
      </c>
      <c r="GQ70" s="74" t="str">
        <f t="shared" si="123"/>
        <v/>
      </c>
      <c r="GR70" s="74" t="str">
        <f t="shared" si="123"/>
        <v/>
      </c>
      <c r="GS70" s="74" t="str">
        <f t="shared" si="123"/>
        <v/>
      </c>
      <c r="GT70" s="74" t="str">
        <f t="shared" si="123"/>
        <v/>
      </c>
      <c r="GU70" s="78" t="str">
        <f t="shared" si="123"/>
        <v/>
      </c>
      <c r="GV70" s="78" t="str">
        <f t="shared" si="123"/>
        <v/>
      </c>
      <c r="GW70" s="74" t="str">
        <f t="shared" si="124"/>
        <v/>
      </c>
      <c r="GX70" s="74" t="str">
        <f t="shared" si="124"/>
        <v/>
      </c>
      <c r="GY70" s="74" t="str">
        <f t="shared" si="124"/>
        <v/>
      </c>
      <c r="GZ70" s="74" t="str">
        <f t="shared" si="124"/>
        <v/>
      </c>
      <c r="HA70" s="74" t="str">
        <f t="shared" si="124"/>
        <v/>
      </c>
      <c r="HB70" s="78" t="str">
        <f t="shared" si="124"/>
        <v/>
      </c>
      <c r="HC70" s="78" t="str">
        <f t="shared" si="124"/>
        <v/>
      </c>
      <c r="HD70" s="74" t="str">
        <f t="shared" si="124"/>
        <v/>
      </c>
      <c r="HE70" s="74" t="str">
        <f t="shared" si="124"/>
        <v/>
      </c>
      <c r="HF70" s="74" t="str">
        <f t="shared" si="124"/>
        <v/>
      </c>
      <c r="HG70" s="74" t="str">
        <f t="shared" si="124"/>
        <v/>
      </c>
      <c r="HH70" s="74" t="str">
        <f t="shared" si="124"/>
        <v/>
      </c>
    </row>
    <row r="71" spans="1:216" x14ac:dyDescent="0.2">
      <c r="A71" s="82" t="str">
        <f>'FY1 Event Pipeline'!A12</f>
        <v>Yas Winterfest</v>
      </c>
      <c r="B71" s="83">
        <f>_xlfn.XLOOKUP(A71,'FY1 Event Pipeline'!$A$4:$A$15,'FY1 Event Pipeline'!$H$4:$H$15)</f>
        <v>46352</v>
      </c>
      <c r="C71" s="83">
        <f>_xlfn.XLOOKUP(A71,'FY1 Event Pipeline'!$A$4:$A$15,'FY1 Event Pipeline'!$J$4:$J$15)</f>
        <v>46384</v>
      </c>
      <c r="D71" s="84">
        <f>_xlfn.XLOOKUP(A71,'FY1 Event Pipeline'!$A$4:$A$15,'FY1 Event Pipeline'!$R$4:$R$15)</f>
        <v>60</v>
      </c>
      <c r="E71" s="74" t="str">
        <f t="shared" si="104"/>
        <v/>
      </c>
      <c r="F71" s="74" t="str">
        <f t="shared" si="104"/>
        <v/>
      </c>
      <c r="G71" s="78" t="str">
        <f t="shared" si="104"/>
        <v/>
      </c>
      <c r="H71" s="78" t="str">
        <f t="shared" si="104"/>
        <v/>
      </c>
      <c r="I71" s="74" t="str">
        <f t="shared" si="104"/>
        <v/>
      </c>
      <c r="J71" s="74" t="str">
        <f t="shared" si="104"/>
        <v/>
      </c>
      <c r="K71" s="74" t="str">
        <f t="shared" si="104"/>
        <v/>
      </c>
      <c r="L71" s="74" t="str">
        <f t="shared" si="104"/>
        <v/>
      </c>
      <c r="M71" s="74" t="str">
        <f t="shared" si="104"/>
        <v/>
      </c>
      <c r="N71" s="78" t="str">
        <f t="shared" si="104"/>
        <v/>
      </c>
      <c r="O71" s="78" t="str">
        <f t="shared" si="105"/>
        <v/>
      </c>
      <c r="P71" s="74" t="str">
        <f t="shared" si="105"/>
        <v/>
      </c>
      <c r="Q71" s="74" t="str">
        <f t="shared" si="105"/>
        <v/>
      </c>
      <c r="R71" s="74" t="str">
        <f t="shared" si="105"/>
        <v/>
      </c>
      <c r="S71" s="74" t="str">
        <f t="shared" si="105"/>
        <v/>
      </c>
      <c r="T71" s="74" t="str">
        <f t="shared" si="105"/>
        <v/>
      </c>
      <c r="U71" s="78" t="str">
        <f t="shared" si="105"/>
        <v/>
      </c>
      <c r="V71" s="78" t="str">
        <f t="shared" si="105"/>
        <v/>
      </c>
      <c r="W71" s="74" t="str">
        <f t="shared" si="105"/>
        <v/>
      </c>
      <c r="X71" s="74" t="str">
        <f t="shared" si="105"/>
        <v/>
      </c>
      <c r="Y71" s="74" t="str">
        <f t="shared" si="106"/>
        <v/>
      </c>
      <c r="Z71" s="74" t="str">
        <f t="shared" si="106"/>
        <v/>
      </c>
      <c r="AA71" s="74" t="str">
        <f t="shared" si="106"/>
        <v/>
      </c>
      <c r="AB71" s="78" t="str">
        <f t="shared" si="106"/>
        <v/>
      </c>
      <c r="AC71" s="78" t="str">
        <f t="shared" si="106"/>
        <v/>
      </c>
      <c r="AD71" s="74" t="str">
        <f t="shared" si="106"/>
        <v/>
      </c>
      <c r="AE71" s="74" t="str">
        <f t="shared" si="106"/>
        <v/>
      </c>
      <c r="AF71" s="74" t="str">
        <f t="shared" si="106"/>
        <v/>
      </c>
      <c r="AG71" s="74" t="str">
        <f t="shared" si="106"/>
        <v/>
      </c>
      <c r="AH71" s="74" t="str">
        <f t="shared" si="106"/>
        <v/>
      </c>
      <c r="AI71" s="78" t="str">
        <f t="shared" si="107"/>
        <v/>
      </c>
      <c r="AJ71" s="78" t="str">
        <f t="shared" si="107"/>
        <v/>
      </c>
      <c r="AK71" s="74" t="str">
        <f t="shared" si="107"/>
        <v/>
      </c>
      <c r="AL71" s="74" t="str">
        <f t="shared" si="107"/>
        <v/>
      </c>
      <c r="AM71" s="74" t="str">
        <f t="shared" si="107"/>
        <v/>
      </c>
      <c r="AN71" s="74" t="str">
        <f t="shared" si="107"/>
        <v/>
      </c>
      <c r="AO71" s="74" t="str">
        <f t="shared" si="107"/>
        <v/>
      </c>
      <c r="AP71" s="78" t="str">
        <f t="shared" si="107"/>
        <v/>
      </c>
      <c r="AQ71" s="78" t="str">
        <f t="shared" si="107"/>
        <v/>
      </c>
      <c r="AR71" s="74" t="str">
        <f t="shared" si="107"/>
        <v/>
      </c>
      <c r="AS71" s="74" t="str">
        <f t="shared" si="108"/>
        <v/>
      </c>
      <c r="AT71" s="74" t="str">
        <f t="shared" si="108"/>
        <v/>
      </c>
      <c r="AU71" s="74" t="str">
        <f t="shared" si="108"/>
        <v/>
      </c>
      <c r="AV71" s="74" t="str">
        <f t="shared" si="108"/>
        <v/>
      </c>
      <c r="AW71" s="78" t="str">
        <f t="shared" si="108"/>
        <v/>
      </c>
      <c r="AX71" s="78" t="str">
        <f t="shared" si="108"/>
        <v/>
      </c>
      <c r="AY71" s="74" t="str">
        <f t="shared" si="108"/>
        <v/>
      </c>
      <c r="AZ71" s="74" t="str">
        <f t="shared" si="108"/>
        <v/>
      </c>
      <c r="BA71" s="74" t="str">
        <f t="shared" si="108"/>
        <v/>
      </c>
      <c r="BB71" s="74" t="str">
        <f t="shared" si="108"/>
        <v/>
      </c>
      <c r="BC71" s="74" t="str">
        <f t="shared" si="109"/>
        <v/>
      </c>
      <c r="BD71" s="78" t="str">
        <f t="shared" si="109"/>
        <v/>
      </c>
      <c r="BE71" s="78" t="str">
        <f t="shared" si="109"/>
        <v/>
      </c>
      <c r="BF71" s="74" t="str">
        <f t="shared" si="109"/>
        <v/>
      </c>
      <c r="BG71" s="74" t="str">
        <f t="shared" si="109"/>
        <v/>
      </c>
      <c r="BH71" s="74" t="str">
        <f t="shared" si="109"/>
        <v/>
      </c>
      <c r="BI71" s="75">
        <f t="shared" si="109"/>
        <v>60</v>
      </c>
      <c r="BJ71" s="75">
        <f t="shared" si="109"/>
        <v>60</v>
      </c>
      <c r="BK71" s="75">
        <f t="shared" si="109"/>
        <v>60</v>
      </c>
      <c r="BL71" s="75">
        <f t="shared" si="109"/>
        <v>60</v>
      </c>
      <c r="BM71" s="75">
        <f t="shared" si="110"/>
        <v>60</v>
      </c>
      <c r="BN71" s="75">
        <f t="shared" si="110"/>
        <v>60</v>
      </c>
      <c r="BO71" s="75">
        <f t="shared" si="110"/>
        <v>60</v>
      </c>
      <c r="BP71" s="75">
        <f t="shared" si="110"/>
        <v>60</v>
      </c>
      <c r="BQ71" s="75">
        <f t="shared" si="110"/>
        <v>60</v>
      </c>
      <c r="BR71" s="75">
        <f t="shared" si="110"/>
        <v>60</v>
      </c>
      <c r="BS71" s="75">
        <f t="shared" si="110"/>
        <v>60</v>
      </c>
      <c r="BT71" s="75">
        <f t="shared" si="110"/>
        <v>60</v>
      </c>
      <c r="BU71" s="75">
        <f t="shared" si="110"/>
        <v>60</v>
      </c>
      <c r="BV71" s="75">
        <f t="shared" si="110"/>
        <v>60</v>
      </c>
      <c r="BW71" s="75">
        <f t="shared" si="111"/>
        <v>60</v>
      </c>
      <c r="BX71" s="76">
        <f t="shared" si="111"/>
        <v>60</v>
      </c>
      <c r="BY71" s="76">
        <f t="shared" si="111"/>
        <v>60</v>
      </c>
      <c r="BZ71" s="76">
        <f t="shared" si="111"/>
        <v>60</v>
      </c>
      <c r="CA71" s="76">
        <f t="shared" si="111"/>
        <v>60</v>
      </c>
      <c r="CB71" s="76">
        <f t="shared" si="111"/>
        <v>60</v>
      </c>
      <c r="CC71" s="76">
        <f t="shared" si="111"/>
        <v>60</v>
      </c>
      <c r="CD71" s="76">
        <f t="shared" si="111"/>
        <v>60</v>
      </c>
      <c r="CE71" s="76">
        <f t="shared" si="111"/>
        <v>60</v>
      </c>
      <c r="CF71" s="76">
        <f t="shared" si="111"/>
        <v>60</v>
      </c>
      <c r="CG71" s="76">
        <f t="shared" si="112"/>
        <v>60</v>
      </c>
      <c r="CH71" s="76">
        <f t="shared" si="112"/>
        <v>60</v>
      </c>
      <c r="CI71" s="77">
        <f t="shared" si="112"/>
        <v>60</v>
      </c>
      <c r="CJ71" s="77">
        <f t="shared" si="112"/>
        <v>60</v>
      </c>
      <c r="CK71" s="77">
        <f t="shared" si="112"/>
        <v>60</v>
      </c>
      <c r="CL71" s="77">
        <f t="shared" si="112"/>
        <v>60</v>
      </c>
      <c r="CM71" s="77">
        <f t="shared" si="112"/>
        <v>60</v>
      </c>
      <c r="CN71" s="77">
        <f t="shared" si="112"/>
        <v>60</v>
      </c>
      <c r="CO71" s="77">
        <f t="shared" si="112"/>
        <v>60</v>
      </c>
      <c r="CP71" s="74" t="str">
        <f t="shared" si="112"/>
        <v/>
      </c>
      <c r="CQ71" s="74" t="str">
        <f t="shared" si="113"/>
        <v/>
      </c>
      <c r="CR71" s="74" t="str">
        <f t="shared" si="113"/>
        <v/>
      </c>
      <c r="CS71" s="74" t="str">
        <f t="shared" si="113"/>
        <v/>
      </c>
      <c r="CT71" s="78" t="str">
        <f t="shared" si="113"/>
        <v/>
      </c>
      <c r="CU71" s="78" t="str">
        <f t="shared" si="113"/>
        <v/>
      </c>
      <c r="CV71" s="74" t="str">
        <f t="shared" si="113"/>
        <v/>
      </c>
      <c r="CW71" s="74" t="str">
        <f t="shared" si="113"/>
        <v/>
      </c>
      <c r="CX71" s="74" t="str">
        <f t="shared" si="113"/>
        <v/>
      </c>
      <c r="CY71" s="74" t="str">
        <f t="shared" si="113"/>
        <v/>
      </c>
      <c r="CZ71" s="74" t="str">
        <f t="shared" si="113"/>
        <v/>
      </c>
      <c r="DA71" s="78" t="str">
        <f t="shared" si="114"/>
        <v/>
      </c>
      <c r="DB71" s="78" t="str">
        <f t="shared" si="114"/>
        <v/>
      </c>
      <c r="DC71" s="74" t="str">
        <f t="shared" si="114"/>
        <v/>
      </c>
      <c r="DD71" s="74" t="str">
        <f t="shared" si="114"/>
        <v/>
      </c>
      <c r="DE71" s="74" t="str">
        <f t="shared" si="114"/>
        <v/>
      </c>
      <c r="DF71" s="74" t="str">
        <f t="shared" si="114"/>
        <v/>
      </c>
      <c r="DG71" s="74" t="str">
        <f t="shared" si="114"/>
        <v/>
      </c>
      <c r="DH71" s="78" t="str">
        <f t="shared" si="114"/>
        <v/>
      </c>
      <c r="DI71" s="78" t="str">
        <f t="shared" si="114"/>
        <v/>
      </c>
      <c r="DJ71" s="74" t="str">
        <f t="shared" si="114"/>
        <v/>
      </c>
      <c r="DK71" s="74" t="str">
        <f t="shared" si="115"/>
        <v/>
      </c>
      <c r="DL71" s="74" t="str">
        <f t="shared" si="115"/>
        <v/>
      </c>
      <c r="DM71" s="74" t="str">
        <f t="shared" si="115"/>
        <v/>
      </c>
      <c r="DN71" s="74" t="str">
        <f t="shared" si="115"/>
        <v/>
      </c>
      <c r="DO71" s="78" t="str">
        <f t="shared" si="115"/>
        <v/>
      </c>
      <c r="DP71" s="78" t="str">
        <f t="shared" si="115"/>
        <v/>
      </c>
      <c r="DQ71" s="74" t="str">
        <f t="shared" si="115"/>
        <v/>
      </c>
      <c r="DR71" s="74" t="str">
        <f t="shared" si="115"/>
        <v/>
      </c>
      <c r="DS71" s="74" t="str">
        <f t="shared" si="115"/>
        <v/>
      </c>
      <c r="DT71" s="74" t="str">
        <f t="shared" si="115"/>
        <v/>
      </c>
      <c r="DU71" s="74" t="str">
        <f t="shared" si="116"/>
        <v/>
      </c>
      <c r="DV71" s="78" t="str">
        <f t="shared" si="116"/>
        <v/>
      </c>
      <c r="DW71" s="78" t="str">
        <f t="shared" si="116"/>
        <v/>
      </c>
      <c r="DX71" s="74" t="str">
        <f t="shared" si="116"/>
        <v/>
      </c>
      <c r="DY71" s="74" t="str">
        <f t="shared" si="116"/>
        <v/>
      </c>
      <c r="DZ71" s="74" t="str">
        <f t="shared" si="116"/>
        <v/>
      </c>
      <c r="EA71" s="74" t="str">
        <f t="shared" si="116"/>
        <v/>
      </c>
      <c r="EB71" s="74" t="str">
        <f t="shared" si="116"/>
        <v/>
      </c>
      <c r="EC71" s="78" t="str">
        <f t="shared" si="116"/>
        <v/>
      </c>
      <c r="ED71" s="78" t="str">
        <f t="shared" si="116"/>
        <v/>
      </c>
      <c r="EE71" s="74" t="str">
        <f t="shared" si="117"/>
        <v/>
      </c>
      <c r="EF71" s="74" t="str">
        <f t="shared" si="117"/>
        <v/>
      </c>
      <c r="EG71" s="74" t="str">
        <f t="shared" si="117"/>
        <v/>
      </c>
      <c r="EH71" s="74" t="str">
        <f t="shared" si="117"/>
        <v/>
      </c>
      <c r="EI71" s="74" t="str">
        <f t="shared" si="117"/>
        <v/>
      </c>
      <c r="EJ71" s="78" t="str">
        <f t="shared" si="117"/>
        <v/>
      </c>
      <c r="EK71" s="78" t="str">
        <f t="shared" si="117"/>
        <v/>
      </c>
      <c r="EL71" s="74" t="str">
        <f t="shared" si="117"/>
        <v/>
      </c>
      <c r="EM71" s="74" t="str">
        <f t="shared" si="117"/>
        <v/>
      </c>
      <c r="EN71" s="74" t="str">
        <f t="shared" si="117"/>
        <v/>
      </c>
      <c r="EO71" s="74" t="str">
        <f t="shared" si="118"/>
        <v/>
      </c>
      <c r="EP71" s="74" t="str">
        <f t="shared" si="118"/>
        <v/>
      </c>
      <c r="EQ71" s="78" t="str">
        <f t="shared" si="118"/>
        <v/>
      </c>
      <c r="ER71" s="78" t="str">
        <f t="shared" si="118"/>
        <v/>
      </c>
      <c r="ES71" s="74" t="str">
        <f t="shared" si="118"/>
        <v/>
      </c>
      <c r="ET71" s="74" t="str">
        <f t="shared" si="118"/>
        <v/>
      </c>
      <c r="EU71" s="74" t="str">
        <f t="shared" si="118"/>
        <v/>
      </c>
      <c r="EV71" s="74" t="str">
        <f t="shared" si="118"/>
        <v/>
      </c>
      <c r="EW71" s="74" t="str">
        <f t="shared" si="118"/>
        <v/>
      </c>
      <c r="EX71" s="78" t="str">
        <f t="shared" si="118"/>
        <v/>
      </c>
      <c r="EY71" s="78" t="str">
        <f t="shared" si="119"/>
        <v/>
      </c>
      <c r="EZ71" s="74" t="str">
        <f t="shared" si="119"/>
        <v/>
      </c>
      <c r="FA71" s="74" t="str">
        <f t="shared" si="119"/>
        <v/>
      </c>
      <c r="FB71" s="74" t="str">
        <f t="shared" si="119"/>
        <v/>
      </c>
      <c r="FC71" s="74" t="str">
        <f t="shared" si="119"/>
        <v/>
      </c>
      <c r="FD71" s="74" t="str">
        <f t="shared" si="119"/>
        <v/>
      </c>
      <c r="FE71" s="78" t="str">
        <f t="shared" si="119"/>
        <v/>
      </c>
      <c r="FF71" s="78" t="str">
        <f t="shared" si="119"/>
        <v/>
      </c>
      <c r="FG71" s="74" t="str">
        <f t="shared" si="119"/>
        <v/>
      </c>
      <c r="FH71" s="74" t="str">
        <f t="shared" si="119"/>
        <v/>
      </c>
      <c r="FI71" s="74" t="str">
        <f t="shared" si="120"/>
        <v/>
      </c>
      <c r="FJ71" s="74" t="str">
        <f t="shared" si="120"/>
        <v/>
      </c>
      <c r="FK71" s="74" t="str">
        <f t="shared" si="120"/>
        <v/>
      </c>
      <c r="FL71" s="78" t="str">
        <f t="shared" si="120"/>
        <v/>
      </c>
      <c r="FM71" s="78" t="str">
        <f t="shared" si="120"/>
        <v/>
      </c>
      <c r="FN71" s="74" t="str">
        <f t="shared" si="120"/>
        <v/>
      </c>
      <c r="FO71" s="74" t="str">
        <f t="shared" si="120"/>
        <v/>
      </c>
      <c r="FP71" s="74" t="str">
        <f t="shared" si="120"/>
        <v/>
      </c>
      <c r="FQ71" s="74" t="str">
        <f t="shared" si="120"/>
        <v/>
      </c>
      <c r="FR71" s="74" t="str">
        <f t="shared" si="120"/>
        <v/>
      </c>
      <c r="FS71" s="78" t="str">
        <f t="shared" si="121"/>
        <v/>
      </c>
      <c r="FT71" s="78" t="str">
        <f t="shared" si="121"/>
        <v/>
      </c>
      <c r="FU71" s="74" t="str">
        <f t="shared" si="121"/>
        <v/>
      </c>
      <c r="FV71" s="74" t="str">
        <f t="shared" si="121"/>
        <v/>
      </c>
      <c r="FW71" s="74" t="str">
        <f t="shared" si="121"/>
        <v/>
      </c>
      <c r="FX71" s="74" t="str">
        <f t="shared" si="121"/>
        <v/>
      </c>
      <c r="FY71" s="74" t="str">
        <f t="shared" si="121"/>
        <v/>
      </c>
      <c r="FZ71" s="78" t="str">
        <f t="shared" si="121"/>
        <v/>
      </c>
      <c r="GA71" s="78" t="str">
        <f t="shared" si="121"/>
        <v/>
      </c>
      <c r="GB71" s="74" t="str">
        <f t="shared" si="121"/>
        <v/>
      </c>
      <c r="GC71" s="74" t="str">
        <f t="shared" si="122"/>
        <v/>
      </c>
      <c r="GD71" s="74" t="str">
        <f t="shared" si="122"/>
        <v/>
      </c>
      <c r="GE71" s="74" t="str">
        <f t="shared" si="122"/>
        <v/>
      </c>
      <c r="GF71" s="74" t="str">
        <f t="shared" si="122"/>
        <v/>
      </c>
      <c r="GG71" s="78" t="str">
        <f t="shared" si="122"/>
        <v/>
      </c>
      <c r="GH71" s="78" t="str">
        <f t="shared" si="122"/>
        <v/>
      </c>
      <c r="GI71" s="74" t="str">
        <f t="shared" si="122"/>
        <v/>
      </c>
      <c r="GJ71" s="74" t="str">
        <f t="shared" si="122"/>
        <v/>
      </c>
      <c r="GK71" s="74" t="str">
        <f t="shared" si="122"/>
        <v/>
      </c>
      <c r="GL71" s="74" t="str">
        <f t="shared" si="122"/>
        <v/>
      </c>
      <c r="GM71" s="74" t="str">
        <f t="shared" si="123"/>
        <v/>
      </c>
      <c r="GN71" s="78" t="str">
        <f t="shared" si="123"/>
        <v/>
      </c>
      <c r="GO71" s="78" t="str">
        <f t="shared" si="123"/>
        <v/>
      </c>
      <c r="GP71" s="74" t="str">
        <f t="shared" si="123"/>
        <v/>
      </c>
      <c r="GQ71" s="74" t="str">
        <f t="shared" si="123"/>
        <v/>
      </c>
      <c r="GR71" s="74" t="str">
        <f t="shared" si="123"/>
        <v/>
      </c>
      <c r="GS71" s="74" t="str">
        <f t="shared" si="123"/>
        <v/>
      </c>
      <c r="GT71" s="74" t="str">
        <f t="shared" si="123"/>
        <v/>
      </c>
      <c r="GU71" s="78" t="str">
        <f t="shared" si="123"/>
        <v/>
      </c>
      <c r="GV71" s="78" t="str">
        <f t="shared" si="123"/>
        <v/>
      </c>
      <c r="GW71" s="74" t="str">
        <f t="shared" si="124"/>
        <v/>
      </c>
      <c r="GX71" s="74" t="str">
        <f t="shared" si="124"/>
        <v/>
      </c>
      <c r="GY71" s="74" t="str">
        <f t="shared" si="124"/>
        <v/>
      </c>
      <c r="GZ71" s="74" t="str">
        <f t="shared" si="124"/>
        <v/>
      </c>
      <c r="HA71" s="74" t="str">
        <f t="shared" si="124"/>
        <v/>
      </c>
      <c r="HB71" s="78" t="str">
        <f t="shared" si="124"/>
        <v/>
      </c>
      <c r="HC71" s="78" t="str">
        <f t="shared" si="124"/>
        <v/>
      </c>
      <c r="HD71" s="74" t="str">
        <f t="shared" si="124"/>
        <v/>
      </c>
      <c r="HE71" s="74" t="str">
        <f t="shared" si="124"/>
        <v/>
      </c>
      <c r="HF71" s="74" t="str">
        <f t="shared" si="124"/>
        <v/>
      </c>
      <c r="HG71" s="74" t="str">
        <f t="shared" si="124"/>
        <v/>
      </c>
      <c r="HH71" s="74" t="str">
        <f t="shared" si="124"/>
        <v/>
      </c>
    </row>
    <row r="72" spans="1:216" x14ac:dyDescent="0.2">
      <c r="A72" s="82" t="str">
        <f>'FY1 Event Pipeline'!A13</f>
        <v>Animenia</v>
      </c>
      <c r="B72" s="83">
        <f>_xlfn.XLOOKUP(A72,'FY1 Event Pipeline'!$A$4:$A$15,'FY1 Event Pipeline'!$H$4:$H$15)</f>
        <v>46414</v>
      </c>
      <c r="C72" s="83">
        <f>_xlfn.XLOOKUP(A72,'FY1 Event Pipeline'!$A$4:$A$15,'FY1 Event Pipeline'!$J$4:$J$15)</f>
        <v>46436</v>
      </c>
      <c r="D72" s="84">
        <f>_xlfn.XLOOKUP(A72,'FY1 Event Pipeline'!$A$4:$A$15,'FY1 Event Pipeline'!$R$4:$R$15)</f>
        <v>0</v>
      </c>
      <c r="E72" s="74" t="str">
        <f t="shared" si="104"/>
        <v/>
      </c>
      <c r="F72" s="74" t="str">
        <f t="shared" si="104"/>
        <v/>
      </c>
      <c r="G72" s="78" t="str">
        <f t="shared" si="104"/>
        <v/>
      </c>
      <c r="H72" s="78" t="str">
        <f t="shared" si="104"/>
        <v/>
      </c>
      <c r="I72" s="74" t="str">
        <f t="shared" si="104"/>
        <v/>
      </c>
      <c r="J72" s="74" t="str">
        <f t="shared" si="104"/>
        <v/>
      </c>
      <c r="K72" s="74" t="str">
        <f t="shared" si="104"/>
        <v/>
      </c>
      <c r="L72" s="74" t="str">
        <f t="shared" si="104"/>
        <v/>
      </c>
      <c r="M72" s="74" t="str">
        <f t="shared" si="104"/>
        <v/>
      </c>
      <c r="N72" s="78" t="str">
        <f t="shared" si="104"/>
        <v/>
      </c>
      <c r="O72" s="78" t="str">
        <f t="shared" si="105"/>
        <v/>
      </c>
      <c r="P72" s="74" t="str">
        <f t="shared" si="105"/>
        <v/>
      </c>
      <c r="Q72" s="74" t="str">
        <f t="shared" si="105"/>
        <v/>
      </c>
      <c r="R72" s="74" t="str">
        <f t="shared" si="105"/>
        <v/>
      </c>
      <c r="S72" s="74" t="str">
        <f t="shared" si="105"/>
        <v/>
      </c>
      <c r="T72" s="74" t="str">
        <f t="shared" si="105"/>
        <v/>
      </c>
      <c r="U72" s="78" t="str">
        <f t="shared" si="105"/>
        <v/>
      </c>
      <c r="V72" s="78" t="str">
        <f t="shared" si="105"/>
        <v/>
      </c>
      <c r="W72" s="74" t="str">
        <f t="shared" si="105"/>
        <v/>
      </c>
      <c r="X72" s="74" t="str">
        <f t="shared" si="105"/>
        <v/>
      </c>
      <c r="Y72" s="74" t="str">
        <f t="shared" si="106"/>
        <v/>
      </c>
      <c r="Z72" s="74" t="str">
        <f t="shared" si="106"/>
        <v/>
      </c>
      <c r="AA72" s="74" t="str">
        <f t="shared" si="106"/>
        <v/>
      </c>
      <c r="AB72" s="78" t="str">
        <f t="shared" si="106"/>
        <v/>
      </c>
      <c r="AC72" s="78" t="str">
        <f t="shared" si="106"/>
        <v/>
      </c>
      <c r="AD72" s="74" t="str">
        <f t="shared" si="106"/>
        <v/>
      </c>
      <c r="AE72" s="74" t="str">
        <f t="shared" si="106"/>
        <v/>
      </c>
      <c r="AF72" s="74" t="str">
        <f t="shared" si="106"/>
        <v/>
      </c>
      <c r="AG72" s="74" t="str">
        <f t="shared" si="106"/>
        <v/>
      </c>
      <c r="AH72" s="74" t="str">
        <f t="shared" si="106"/>
        <v/>
      </c>
      <c r="AI72" s="78" t="str">
        <f t="shared" si="107"/>
        <v/>
      </c>
      <c r="AJ72" s="78" t="str">
        <f t="shared" si="107"/>
        <v/>
      </c>
      <c r="AK72" s="74" t="str">
        <f t="shared" si="107"/>
        <v/>
      </c>
      <c r="AL72" s="74" t="str">
        <f t="shared" si="107"/>
        <v/>
      </c>
      <c r="AM72" s="74" t="str">
        <f t="shared" si="107"/>
        <v/>
      </c>
      <c r="AN72" s="74" t="str">
        <f t="shared" si="107"/>
        <v/>
      </c>
      <c r="AO72" s="74" t="str">
        <f t="shared" si="107"/>
        <v/>
      </c>
      <c r="AP72" s="78" t="str">
        <f t="shared" si="107"/>
        <v/>
      </c>
      <c r="AQ72" s="78" t="str">
        <f t="shared" si="107"/>
        <v/>
      </c>
      <c r="AR72" s="74" t="str">
        <f t="shared" si="107"/>
        <v/>
      </c>
      <c r="AS72" s="74" t="str">
        <f t="shared" si="108"/>
        <v/>
      </c>
      <c r="AT72" s="74" t="str">
        <f t="shared" si="108"/>
        <v/>
      </c>
      <c r="AU72" s="74" t="str">
        <f t="shared" si="108"/>
        <v/>
      </c>
      <c r="AV72" s="74" t="str">
        <f t="shared" si="108"/>
        <v/>
      </c>
      <c r="AW72" s="78" t="str">
        <f t="shared" si="108"/>
        <v/>
      </c>
      <c r="AX72" s="78" t="str">
        <f t="shared" si="108"/>
        <v/>
      </c>
      <c r="AY72" s="74" t="str">
        <f t="shared" si="108"/>
        <v/>
      </c>
      <c r="AZ72" s="74" t="str">
        <f t="shared" si="108"/>
        <v/>
      </c>
      <c r="BA72" s="74" t="str">
        <f t="shared" si="108"/>
        <v/>
      </c>
      <c r="BB72" s="74" t="str">
        <f t="shared" si="108"/>
        <v/>
      </c>
      <c r="BC72" s="74" t="str">
        <f t="shared" si="109"/>
        <v/>
      </c>
      <c r="BD72" s="78" t="str">
        <f t="shared" si="109"/>
        <v/>
      </c>
      <c r="BE72" s="78" t="str">
        <f t="shared" si="109"/>
        <v/>
      </c>
      <c r="BF72" s="74" t="str">
        <f t="shared" si="109"/>
        <v/>
      </c>
      <c r="BG72" s="74" t="str">
        <f t="shared" si="109"/>
        <v/>
      </c>
      <c r="BH72" s="74" t="str">
        <f t="shared" si="109"/>
        <v/>
      </c>
      <c r="BI72" s="74" t="str">
        <f t="shared" si="109"/>
        <v/>
      </c>
      <c r="BJ72" s="74" t="str">
        <f t="shared" si="109"/>
        <v/>
      </c>
      <c r="BK72" s="78" t="str">
        <f t="shared" si="109"/>
        <v/>
      </c>
      <c r="BL72" s="78" t="str">
        <f t="shared" si="109"/>
        <v/>
      </c>
      <c r="BM72" s="74" t="str">
        <f t="shared" si="110"/>
        <v/>
      </c>
      <c r="BN72" s="74" t="str">
        <f t="shared" si="110"/>
        <v/>
      </c>
      <c r="BO72" s="74" t="str">
        <f t="shared" si="110"/>
        <v/>
      </c>
      <c r="BP72" s="74" t="str">
        <f t="shared" si="110"/>
        <v/>
      </c>
      <c r="BQ72" s="74" t="str">
        <f t="shared" si="110"/>
        <v/>
      </c>
      <c r="BR72" s="78" t="str">
        <f t="shared" si="110"/>
        <v/>
      </c>
      <c r="BS72" s="78" t="str">
        <f t="shared" si="110"/>
        <v/>
      </c>
      <c r="BT72" s="74" t="str">
        <f t="shared" si="110"/>
        <v/>
      </c>
      <c r="BU72" s="74" t="str">
        <f t="shared" si="110"/>
        <v/>
      </c>
      <c r="BV72" s="74" t="str">
        <f t="shared" si="110"/>
        <v/>
      </c>
      <c r="BW72" s="74" t="str">
        <f t="shared" si="111"/>
        <v/>
      </c>
      <c r="BX72" s="74" t="str">
        <f t="shared" si="111"/>
        <v/>
      </c>
      <c r="BY72" s="78" t="str">
        <f t="shared" si="111"/>
        <v/>
      </c>
      <c r="BZ72" s="78" t="str">
        <f t="shared" si="111"/>
        <v/>
      </c>
      <c r="CA72" s="74" t="str">
        <f t="shared" si="111"/>
        <v/>
      </c>
      <c r="CB72" s="74" t="str">
        <f t="shared" si="111"/>
        <v/>
      </c>
      <c r="CC72" s="74" t="str">
        <f t="shared" si="111"/>
        <v/>
      </c>
      <c r="CD72" s="74" t="str">
        <f t="shared" si="111"/>
        <v/>
      </c>
      <c r="CE72" s="74" t="str">
        <f t="shared" si="111"/>
        <v/>
      </c>
      <c r="CF72" s="78" t="str">
        <f t="shared" si="111"/>
        <v/>
      </c>
      <c r="CG72" s="78" t="str">
        <f t="shared" si="112"/>
        <v/>
      </c>
      <c r="CH72" s="74" t="str">
        <f t="shared" si="112"/>
        <v/>
      </c>
      <c r="CI72" s="74" t="str">
        <f t="shared" si="112"/>
        <v/>
      </c>
      <c r="CJ72" s="74" t="str">
        <f t="shared" si="112"/>
        <v/>
      </c>
      <c r="CK72" s="74" t="str">
        <f t="shared" si="112"/>
        <v/>
      </c>
      <c r="CL72" s="74" t="str">
        <f t="shared" si="112"/>
        <v/>
      </c>
      <c r="CM72" s="78" t="str">
        <f t="shared" si="112"/>
        <v/>
      </c>
      <c r="CN72" s="78" t="str">
        <f t="shared" si="112"/>
        <v/>
      </c>
      <c r="CO72" s="74" t="str">
        <f t="shared" si="112"/>
        <v/>
      </c>
      <c r="CP72" s="74" t="str">
        <f t="shared" si="112"/>
        <v/>
      </c>
      <c r="CQ72" s="74" t="str">
        <f t="shared" si="113"/>
        <v/>
      </c>
      <c r="CR72" s="74" t="str">
        <f t="shared" si="113"/>
        <v/>
      </c>
      <c r="CS72" s="74" t="str">
        <f t="shared" si="113"/>
        <v/>
      </c>
      <c r="CT72" s="78" t="str">
        <f t="shared" si="113"/>
        <v/>
      </c>
      <c r="CU72" s="78" t="str">
        <f t="shared" si="113"/>
        <v/>
      </c>
      <c r="CV72" s="74" t="str">
        <f t="shared" si="113"/>
        <v/>
      </c>
      <c r="CW72" s="74" t="str">
        <f t="shared" si="113"/>
        <v/>
      </c>
      <c r="CX72" s="74" t="str">
        <f t="shared" si="113"/>
        <v/>
      </c>
      <c r="CY72" s="74" t="str">
        <f t="shared" si="113"/>
        <v/>
      </c>
      <c r="CZ72" s="74" t="str">
        <f t="shared" si="113"/>
        <v/>
      </c>
      <c r="DA72" s="78" t="str">
        <f t="shared" si="114"/>
        <v/>
      </c>
      <c r="DB72" s="78" t="str">
        <f t="shared" si="114"/>
        <v/>
      </c>
      <c r="DC72" s="74" t="str">
        <f t="shared" si="114"/>
        <v/>
      </c>
      <c r="DD72" s="74" t="str">
        <f t="shared" si="114"/>
        <v/>
      </c>
      <c r="DE72" s="74" t="str">
        <f t="shared" si="114"/>
        <v/>
      </c>
      <c r="DF72" s="74" t="str">
        <f t="shared" si="114"/>
        <v/>
      </c>
      <c r="DG72" s="74" t="str">
        <f t="shared" si="114"/>
        <v/>
      </c>
      <c r="DH72" s="78" t="str">
        <f t="shared" si="114"/>
        <v/>
      </c>
      <c r="DI72" s="78" t="str">
        <f t="shared" si="114"/>
        <v/>
      </c>
      <c r="DJ72" s="74" t="str">
        <f t="shared" si="114"/>
        <v/>
      </c>
      <c r="DK72" s="74" t="str">
        <f t="shared" si="115"/>
        <v/>
      </c>
      <c r="DL72" s="74" t="str">
        <f t="shared" si="115"/>
        <v/>
      </c>
      <c r="DM72" s="74" t="str">
        <f t="shared" si="115"/>
        <v/>
      </c>
      <c r="DN72" s="74" t="str">
        <f t="shared" si="115"/>
        <v/>
      </c>
      <c r="DO72" s="78" t="str">
        <f t="shared" si="115"/>
        <v/>
      </c>
      <c r="DP72" s="78" t="str">
        <f t="shared" si="115"/>
        <v/>
      </c>
      <c r="DQ72" s="74" t="str">
        <f t="shared" si="115"/>
        <v/>
      </c>
      <c r="DR72" s="74" t="str">
        <f t="shared" si="115"/>
        <v/>
      </c>
      <c r="DS72" s="75">
        <f t="shared" si="115"/>
        <v>0</v>
      </c>
      <c r="DT72" s="75">
        <f t="shared" si="115"/>
        <v>0</v>
      </c>
      <c r="DU72" s="75">
        <f t="shared" si="116"/>
        <v>0</v>
      </c>
      <c r="DV72" s="75">
        <f t="shared" si="116"/>
        <v>0</v>
      </c>
      <c r="DW72" s="75">
        <f t="shared" si="116"/>
        <v>0</v>
      </c>
      <c r="DX72" s="75">
        <f t="shared" si="116"/>
        <v>0</v>
      </c>
      <c r="DY72" s="75">
        <f t="shared" si="116"/>
        <v>0</v>
      </c>
      <c r="DZ72" s="75">
        <f t="shared" si="116"/>
        <v>0</v>
      </c>
      <c r="EA72" s="75">
        <f t="shared" si="116"/>
        <v>0</v>
      </c>
      <c r="EB72" s="75">
        <f t="shared" si="116"/>
        <v>0</v>
      </c>
      <c r="EC72" s="75">
        <f t="shared" si="116"/>
        <v>0</v>
      </c>
      <c r="ED72" s="75">
        <f t="shared" si="116"/>
        <v>0</v>
      </c>
      <c r="EE72" s="75">
        <f t="shared" si="117"/>
        <v>0</v>
      </c>
      <c r="EF72" s="75">
        <f t="shared" si="117"/>
        <v>0</v>
      </c>
      <c r="EG72" s="75">
        <f t="shared" si="117"/>
        <v>0</v>
      </c>
      <c r="EH72" s="76">
        <f t="shared" si="117"/>
        <v>0</v>
      </c>
      <c r="EI72" s="76">
        <f t="shared" si="117"/>
        <v>0</v>
      </c>
      <c r="EJ72" s="76">
        <f t="shared" si="117"/>
        <v>0</v>
      </c>
      <c r="EK72" s="76">
        <f t="shared" si="117"/>
        <v>0</v>
      </c>
      <c r="EL72" s="76">
        <f t="shared" si="117"/>
        <v>0</v>
      </c>
      <c r="EM72" s="77">
        <f t="shared" si="117"/>
        <v>0</v>
      </c>
      <c r="EN72" s="77">
        <f t="shared" si="117"/>
        <v>0</v>
      </c>
      <c r="EO72" s="77">
        <f t="shared" si="118"/>
        <v>0</v>
      </c>
      <c r="EP72" s="74" t="str">
        <f t="shared" si="118"/>
        <v/>
      </c>
      <c r="EQ72" s="78" t="str">
        <f t="shared" si="118"/>
        <v/>
      </c>
      <c r="ER72" s="78" t="str">
        <f t="shared" si="118"/>
        <v/>
      </c>
      <c r="ES72" s="74" t="str">
        <f t="shared" si="118"/>
        <v/>
      </c>
      <c r="ET72" s="74" t="str">
        <f t="shared" si="118"/>
        <v/>
      </c>
      <c r="EU72" s="74" t="str">
        <f t="shared" si="118"/>
        <v/>
      </c>
      <c r="EV72" s="74" t="str">
        <f t="shared" si="118"/>
        <v/>
      </c>
      <c r="EW72" s="74" t="str">
        <f t="shared" si="118"/>
        <v/>
      </c>
      <c r="EX72" s="78" t="str">
        <f t="shared" si="118"/>
        <v/>
      </c>
      <c r="EY72" s="78" t="str">
        <f t="shared" si="119"/>
        <v/>
      </c>
      <c r="EZ72" s="74" t="str">
        <f t="shared" si="119"/>
        <v/>
      </c>
      <c r="FA72" s="74" t="str">
        <f t="shared" si="119"/>
        <v/>
      </c>
      <c r="FB72" s="74" t="str">
        <f t="shared" si="119"/>
        <v/>
      </c>
      <c r="FC72" s="74" t="str">
        <f t="shared" si="119"/>
        <v/>
      </c>
      <c r="FD72" s="74" t="str">
        <f t="shared" si="119"/>
        <v/>
      </c>
      <c r="FE72" s="78" t="str">
        <f t="shared" si="119"/>
        <v/>
      </c>
      <c r="FF72" s="78" t="str">
        <f t="shared" si="119"/>
        <v/>
      </c>
      <c r="FG72" s="74" t="str">
        <f t="shared" si="119"/>
        <v/>
      </c>
      <c r="FH72" s="74" t="str">
        <f t="shared" si="119"/>
        <v/>
      </c>
      <c r="FI72" s="74" t="str">
        <f t="shared" si="120"/>
        <v/>
      </c>
      <c r="FJ72" s="74" t="str">
        <f t="shared" si="120"/>
        <v/>
      </c>
      <c r="FK72" s="74" t="str">
        <f t="shared" si="120"/>
        <v/>
      </c>
      <c r="FL72" s="78" t="str">
        <f t="shared" si="120"/>
        <v/>
      </c>
      <c r="FM72" s="78" t="str">
        <f t="shared" si="120"/>
        <v/>
      </c>
      <c r="FN72" s="74" t="str">
        <f t="shared" si="120"/>
        <v/>
      </c>
      <c r="FO72" s="74" t="str">
        <f t="shared" si="120"/>
        <v/>
      </c>
      <c r="FP72" s="74" t="str">
        <f t="shared" si="120"/>
        <v/>
      </c>
      <c r="FQ72" s="74" t="str">
        <f t="shared" si="120"/>
        <v/>
      </c>
      <c r="FR72" s="74" t="str">
        <f t="shared" si="120"/>
        <v/>
      </c>
      <c r="FS72" s="78" t="str">
        <f t="shared" si="121"/>
        <v/>
      </c>
      <c r="FT72" s="78" t="str">
        <f t="shared" si="121"/>
        <v/>
      </c>
      <c r="FU72" s="74" t="str">
        <f t="shared" si="121"/>
        <v/>
      </c>
      <c r="FV72" s="74" t="str">
        <f t="shared" si="121"/>
        <v/>
      </c>
      <c r="FW72" s="74" t="str">
        <f t="shared" si="121"/>
        <v/>
      </c>
      <c r="FX72" s="74" t="str">
        <f t="shared" si="121"/>
        <v/>
      </c>
      <c r="FY72" s="74" t="str">
        <f t="shared" si="121"/>
        <v/>
      </c>
      <c r="FZ72" s="78" t="str">
        <f t="shared" si="121"/>
        <v/>
      </c>
      <c r="GA72" s="78" t="str">
        <f t="shared" si="121"/>
        <v/>
      </c>
      <c r="GB72" s="74" t="str">
        <f t="shared" si="121"/>
        <v/>
      </c>
      <c r="GC72" s="74" t="str">
        <f t="shared" si="122"/>
        <v/>
      </c>
      <c r="GD72" s="74" t="str">
        <f t="shared" si="122"/>
        <v/>
      </c>
      <c r="GE72" s="74" t="str">
        <f t="shared" si="122"/>
        <v/>
      </c>
      <c r="GF72" s="74" t="str">
        <f t="shared" si="122"/>
        <v/>
      </c>
      <c r="GG72" s="78" t="str">
        <f t="shared" si="122"/>
        <v/>
      </c>
      <c r="GH72" s="78" t="str">
        <f t="shared" si="122"/>
        <v/>
      </c>
      <c r="GI72" s="74" t="str">
        <f t="shared" si="122"/>
        <v/>
      </c>
      <c r="GJ72" s="74" t="str">
        <f t="shared" si="122"/>
        <v/>
      </c>
      <c r="GK72" s="74" t="str">
        <f t="shared" si="122"/>
        <v/>
      </c>
      <c r="GL72" s="74" t="str">
        <f t="shared" si="122"/>
        <v/>
      </c>
      <c r="GM72" s="74" t="str">
        <f t="shared" si="123"/>
        <v/>
      </c>
      <c r="GN72" s="78" t="str">
        <f t="shared" si="123"/>
        <v/>
      </c>
      <c r="GO72" s="78" t="str">
        <f t="shared" si="123"/>
        <v/>
      </c>
      <c r="GP72" s="74" t="str">
        <f t="shared" si="123"/>
        <v/>
      </c>
      <c r="GQ72" s="74" t="str">
        <f t="shared" si="123"/>
        <v/>
      </c>
      <c r="GR72" s="74" t="str">
        <f t="shared" si="123"/>
        <v/>
      </c>
      <c r="GS72" s="74" t="str">
        <f t="shared" si="123"/>
        <v/>
      </c>
      <c r="GT72" s="74" t="str">
        <f t="shared" si="123"/>
        <v/>
      </c>
      <c r="GU72" s="78" t="str">
        <f t="shared" si="123"/>
        <v/>
      </c>
      <c r="GV72" s="78" t="str">
        <f t="shared" si="123"/>
        <v/>
      </c>
      <c r="GW72" s="74" t="str">
        <f t="shared" si="124"/>
        <v/>
      </c>
      <c r="GX72" s="74" t="str">
        <f t="shared" si="124"/>
        <v/>
      </c>
      <c r="GY72" s="74" t="str">
        <f t="shared" si="124"/>
        <v/>
      </c>
      <c r="GZ72" s="74" t="str">
        <f t="shared" si="124"/>
        <v/>
      </c>
      <c r="HA72" s="74" t="str">
        <f t="shared" si="124"/>
        <v/>
      </c>
      <c r="HB72" s="78" t="str">
        <f t="shared" si="124"/>
        <v/>
      </c>
      <c r="HC72" s="78" t="str">
        <f t="shared" si="124"/>
        <v/>
      </c>
      <c r="HD72" s="74" t="str">
        <f t="shared" si="124"/>
        <v/>
      </c>
      <c r="HE72" s="74" t="str">
        <f t="shared" si="124"/>
        <v/>
      </c>
      <c r="HF72" s="74" t="str">
        <f t="shared" si="124"/>
        <v/>
      </c>
      <c r="HG72" s="74" t="str">
        <f t="shared" si="124"/>
        <v/>
      </c>
      <c r="HH72" s="74" t="str">
        <f t="shared" si="124"/>
        <v/>
      </c>
    </row>
    <row r="73" spans="1:216" x14ac:dyDescent="0.2">
      <c r="A73" s="82" t="str">
        <f>'FY1 Event Pipeline'!A14</f>
        <v>DAZ</v>
      </c>
      <c r="B73" s="83">
        <f>_xlfn.XLOOKUP(A73,'FY1 Event Pipeline'!$A$4:$A$15,'FY1 Event Pipeline'!$H$4:$H$15)</f>
        <v>46466</v>
      </c>
      <c r="C73" s="83">
        <f>_xlfn.XLOOKUP(A73,'FY1 Event Pipeline'!$A$4:$A$15,'FY1 Event Pipeline'!$J$4:$J$15)</f>
        <v>46496</v>
      </c>
      <c r="D73" s="84">
        <f>_xlfn.XLOOKUP(A73,'FY1 Event Pipeline'!$A$4:$A$15,'FY1 Event Pipeline'!$R$4:$R$15)</f>
        <v>60</v>
      </c>
      <c r="E73" s="74" t="str">
        <f t="shared" si="104"/>
        <v/>
      </c>
      <c r="F73" s="74" t="str">
        <f t="shared" si="104"/>
        <v/>
      </c>
      <c r="G73" s="78" t="str">
        <f t="shared" si="104"/>
        <v/>
      </c>
      <c r="H73" s="78" t="str">
        <f t="shared" si="104"/>
        <v/>
      </c>
      <c r="I73" s="74" t="str">
        <f t="shared" si="104"/>
        <v/>
      </c>
      <c r="J73" s="74" t="str">
        <f t="shared" si="104"/>
        <v/>
      </c>
      <c r="K73" s="74" t="str">
        <f t="shared" si="104"/>
        <v/>
      </c>
      <c r="L73" s="74" t="str">
        <f t="shared" si="104"/>
        <v/>
      </c>
      <c r="M73" s="74" t="str">
        <f t="shared" si="104"/>
        <v/>
      </c>
      <c r="N73" s="78" t="str">
        <f t="shared" si="104"/>
        <v/>
      </c>
      <c r="O73" s="78" t="str">
        <f t="shared" si="105"/>
        <v/>
      </c>
      <c r="P73" s="74" t="str">
        <f t="shared" si="105"/>
        <v/>
      </c>
      <c r="Q73" s="74" t="str">
        <f t="shared" si="105"/>
        <v/>
      </c>
      <c r="R73" s="74" t="str">
        <f t="shared" si="105"/>
        <v/>
      </c>
      <c r="S73" s="74" t="str">
        <f t="shared" si="105"/>
        <v/>
      </c>
      <c r="T73" s="74" t="str">
        <f t="shared" si="105"/>
        <v/>
      </c>
      <c r="U73" s="78" t="str">
        <f t="shared" si="105"/>
        <v/>
      </c>
      <c r="V73" s="78" t="str">
        <f t="shared" si="105"/>
        <v/>
      </c>
      <c r="W73" s="74" t="str">
        <f t="shared" si="105"/>
        <v/>
      </c>
      <c r="X73" s="74" t="str">
        <f t="shared" si="105"/>
        <v/>
      </c>
      <c r="Y73" s="74" t="str">
        <f t="shared" si="106"/>
        <v/>
      </c>
      <c r="Z73" s="74" t="str">
        <f t="shared" si="106"/>
        <v/>
      </c>
      <c r="AA73" s="74" t="str">
        <f t="shared" si="106"/>
        <v/>
      </c>
      <c r="AB73" s="78" t="str">
        <f t="shared" si="106"/>
        <v/>
      </c>
      <c r="AC73" s="78" t="str">
        <f t="shared" si="106"/>
        <v/>
      </c>
      <c r="AD73" s="74" t="str">
        <f t="shared" si="106"/>
        <v/>
      </c>
      <c r="AE73" s="74" t="str">
        <f t="shared" si="106"/>
        <v/>
      </c>
      <c r="AF73" s="74" t="str">
        <f t="shared" si="106"/>
        <v/>
      </c>
      <c r="AG73" s="74" t="str">
        <f t="shared" si="106"/>
        <v/>
      </c>
      <c r="AH73" s="74" t="str">
        <f t="shared" si="106"/>
        <v/>
      </c>
      <c r="AI73" s="78" t="str">
        <f t="shared" si="107"/>
        <v/>
      </c>
      <c r="AJ73" s="78" t="str">
        <f t="shared" si="107"/>
        <v/>
      </c>
      <c r="AK73" s="74" t="str">
        <f t="shared" si="107"/>
        <v/>
      </c>
      <c r="AL73" s="74" t="str">
        <f t="shared" si="107"/>
        <v/>
      </c>
      <c r="AM73" s="74" t="str">
        <f t="shared" si="107"/>
        <v/>
      </c>
      <c r="AN73" s="74" t="str">
        <f t="shared" si="107"/>
        <v/>
      </c>
      <c r="AO73" s="74" t="str">
        <f t="shared" si="107"/>
        <v/>
      </c>
      <c r="AP73" s="78" t="str">
        <f t="shared" si="107"/>
        <v/>
      </c>
      <c r="AQ73" s="78" t="str">
        <f t="shared" si="107"/>
        <v/>
      </c>
      <c r="AR73" s="74" t="str">
        <f t="shared" si="107"/>
        <v/>
      </c>
      <c r="AS73" s="74" t="str">
        <f t="shared" si="108"/>
        <v/>
      </c>
      <c r="AT73" s="74" t="str">
        <f t="shared" si="108"/>
        <v/>
      </c>
      <c r="AU73" s="74" t="str">
        <f t="shared" si="108"/>
        <v/>
      </c>
      <c r="AV73" s="74" t="str">
        <f t="shared" si="108"/>
        <v/>
      </c>
      <c r="AW73" s="78" t="str">
        <f t="shared" si="108"/>
        <v/>
      </c>
      <c r="AX73" s="78" t="str">
        <f t="shared" si="108"/>
        <v/>
      </c>
      <c r="AY73" s="74" t="str">
        <f t="shared" si="108"/>
        <v/>
      </c>
      <c r="AZ73" s="74" t="str">
        <f t="shared" si="108"/>
        <v/>
      </c>
      <c r="BA73" s="74" t="str">
        <f t="shared" si="108"/>
        <v/>
      </c>
      <c r="BB73" s="74" t="str">
        <f t="shared" si="108"/>
        <v/>
      </c>
      <c r="BC73" s="74" t="str">
        <f t="shared" si="109"/>
        <v/>
      </c>
      <c r="BD73" s="78" t="str">
        <f t="shared" si="109"/>
        <v/>
      </c>
      <c r="BE73" s="78" t="str">
        <f t="shared" si="109"/>
        <v/>
      </c>
      <c r="BF73" s="74" t="str">
        <f t="shared" si="109"/>
        <v/>
      </c>
      <c r="BG73" s="74" t="str">
        <f t="shared" si="109"/>
        <v/>
      </c>
      <c r="BH73" s="74" t="str">
        <f t="shared" si="109"/>
        <v/>
      </c>
      <c r="BI73" s="74" t="str">
        <f t="shared" si="109"/>
        <v/>
      </c>
      <c r="BJ73" s="74" t="str">
        <f t="shared" si="109"/>
        <v/>
      </c>
      <c r="BK73" s="78" t="str">
        <f t="shared" si="109"/>
        <v/>
      </c>
      <c r="BL73" s="78" t="str">
        <f t="shared" si="109"/>
        <v/>
      </c>
      <c r="BM73" s="74" t="str">
        <f t="shared" si="110"/>
        <v/>
      </c>
      <c r="BN73" s="74" t="str">
        <f t="shared" si="110"/>
        <v/>
      </c>
      <c r="BO73" s="74" t="str">
        <f t="shared" si="110"/>
        <v/>
      </c>
      <c r="BP73" s="74" t="str">
        <f t="shared" si="110"/>
        <v/>
      </c>
      <c r="BQ73" s="74" t="str">
        <f t="shared" si="110"/>
        <v/>
      </c>
      <c r="BR73" s="78" t="str">
        <f t="shared" si="110"/>
        <v/>
      </c>
      <c r="BS73" s="78" t="str">
        <f t="shared" si="110"/>
        <v/>
      </c>
      <c r="BT73" s="74" t="str">
        <f t="shared" si="110"/>
        <v/>
      </c>
      <c r="BU73" s="74" t="str">
        <f t="shared" si="110"/>
        <v/>
      </c>
      <c r="BV73" s="74" t="str">
        <f t="shared" si="110"/>
        <v/>
      </c>
      <c r="BW73" s="74" t="str">
        <f t="shared" si="111"/>
        <v/>
      </c>
      <c r="BX73" s="74" t="str">
        <f t="shared" si="111"/>
        <v/>
      </c>
      <c r="BY73" s="78" t="str">
        <f t="shared" si="111"/>
        <v/>
      </c>
      <c r="BZ73" s="78" t="str">
        <f t="shared" si="111"/>
        <v/>
      </c>
      <c r="CA73" s="74" t="str">
        <f t="shared" si="111"/>
        <v/>
      </c>
      <c r="CB73" s="74" t="str">
        <f t="shared" si="111"/>
        <v/>
      </c>
      <c r="CC73" s="74" t="str">
        <f t="shared" si="111"/>
        <v/>
      </c>
      <c r="CD73" s="74" t="str">
        <f t="shared" si="111"/>
        <v/>
      </c>
      <c r="CE73" s="74" t="str">
        <f t="shared" si="111"/>
        <v/>
      </c>
      <c r="CF73" s="78" t="str">
        <f t="shared" si="111"/>
        <v/>
      </c>
      <c r="CG73" s="78" t="str">
        <f t="shared" si="112"/>
        <v/>
      </c>
      <c r="CH73" s="74" t="str">
        <f t="shared" si="112"/>
        <v/>
      </c>
      <c r="CI73" s="74" t="str">
        <f t="shared" si="112"/>
        <v/>
      </c>
      <c r="CJ73" s="74" t="str">
        <f t="shared" si="112"/>
        <v/>
      </c>
      <c r="CK73" s="74" t="str">
        <f t="shared" si="112"/>
        <v/>
      </c>
      <c r="CL73" s="74" t="str">
        <f t="shared" si="112"/>
        <v/>
      </c>
      <c r="CM73" s="78" t="str">
        <f t="shared" si="112"/>
        <v/>
      </c>
      <c r="CN73" s="78" t="str">
        <f t="shared" si="112"/>
        <v/>
      </c>
      <c r="CO73" s="74" t="str">
        <f t="shared" si="112"/>
        <v/>
      </c>
      <c r="CP73" s="74" t="str">
        <f t="shared" si="112"/>
        <v/>
      </c>
      <c r="CQ73" s="74" t="str">
        <f t="shared" si="113"/>
        <v/>
      </c>
      <c r="CR73" s="74" t="str">
        <f t="shared" si="113"/>
        <v/>
      </c>
      <c r="CS73" s="74" t="str">
        <f t="shared" si="113"/>
        <v/>
      </c>
      <c r="CT73" s="78" t="str">
        <f t="shared" si="113"/>
        <v/>
      </c>
      <c r="CU73" s="78" t="str">
        <f t="shared" si="113"/>
        <v/>
      </c>
      <c r="CV73" s="74" t="str">
        <f t="shared" si="113"/>
        <v/>
      </c>
      <c r="CW73" s="74" t="str">
        <f t="shared" si="113"/>
        <v/>
      </c>
      <c r="CX73" s="74" t="str">
        <f t="shared" si="113"/>
        <v/>
      </c>
      <c r="CY73" s="74" t="str">
        <f t="shared" si="113"/>
        <v/>
      </c>
      <c r="CZ73" s="74" t="str">
        <f t="shared" si="113"/>
        <v/>
      </c>
      <c r="DA73" s="78" t="str">
        <f t="shared" si="114"/>
        <v/>
      </c>
      <c r="DB73" s="78" t="str">
        <f t="shared" si="114"/>
        <v/>
      </c>
      <c r="DC73" s="74" t="str">
        <f t="shared" si="114"/>
        <v/>
      </c>
      <c r="DD73" s="74" t="str">
        <f t="shared" si="114"/>
        <v/>
      </c>
      <c r="DE73" s="74" t="str">
        <f t="shared" si="114"/>
        <v/>
      </c>
      <c r="DF73" s="74" t="str">
        <f t="shared" si="114"/>
        <v/>
      </c>
      <c r="DG73" s="74" t="str">
        <f t="shared" si="114"/>
        <v/>
      </c>
      <c r="DH73" s="78" t="str">
        <f t="shared" si="114"/>
        <v/>
      </c>
      <c r="DI73" s="78" t="str">
        <f t="shared" si="114"/>
        <v/>
      </c>
      <c r="DJ73" s="74" t="str">
        <f t="shared" si="114"/>
        <v/>
      </c>
      <c r="DK73" s="74" t="str">
        <f t="shared" si="115"/>
        <v/>
      </c>
      <c r="DL73" s="74" t="str">
        <f t="shared" si="115"/>
        <v/>
      </c>
      <c r="DM73" s="74" t="str">
        <f t="shared" si="115"/>
        <v/>
      </c>
      <c r="DN73" s="74" t="str">
        <f t="shared" si="115"/>
        <v/>
      </c>
      <c r="DO73" s="78" t="str">
        <f t="shared" si="115"/>
        <v/>
      </c>
      <c r="DP73" s="78" t="str">
        <f t="shared" si="115"/>
        <v/>
      </c>
      <c r="DQ73" s="74" t="str">
        <f t="shared" si="115"/>
        <v/>
      </c>
      <c r="DR73" s="74" t="str">
        <f t="shared" si="115"/>
        <v/>
      </c>
      <c r="DS73" s="74" t="str">
        <f t="shared" si="115"/>
        <v/>
      </c>
      <c r="DT73" s="74" t="str">
        <f t="shared" si="115"/>
        <v/>
      </c>
      <c r="DU73" s="74" t="str">
        <f t="shared" si="116"/>
        <v/>
      </c>
      <c r="DV73" s="78" t="str">
        <f t="shared" si="116"/>
        <v/>
      </c>
      <c r="DW73" s="78" t="str">
        <f t="shared" si="116"/>
        <v/>
      </c>
      <c r="DX73" s="74" t="str">
        <f t="shared" si="116"/>
        <v/>
      </c>
      <c r="DY73" s="74" t="str">
        <f t="shared" si="116"/>
        <v/>
      </c>
      <c r="DZ73" s="74" t="str">
        <f t="shared" si="116"/>
        <v/>
      </c>
      <c r="EA73" s="74" t="str">
        <f t="shared" si="116"/>
        <v/>
      </c>
      <c r="EB73" s="74" t="str">
        <f t="shared" si="116"/>
        <v/>
      </c>
      <c r="EC73" s="78" t="str">
        <f t="shared" si="116"/>
        <v/>
      </c>
      <c r="ED73" s="78" t="str">
        <f t="shared" si="116"/>
        <v/>
      </c>
      <c r="EE73" s="74" t="str">
        <f t="shared" si="117"/>
        <v/>
      </c>
      <c r="EF73" s="74" t="str">
        <f t="shared" si="117"/>
        <v/>
      </c>
      <c r="EG73" s="74" t="str">
        <f t="shared" si="117"/>
        <v/>
      </c>
      <c r="EH73" s="74" t="str">
        <f t="shared" si="117"/>
        <v/>
      </c>
      <c r="EI73" s="74" t="str">
        <f t="shared" si="117"/>
        <v/>
      </c>
      <c r="EJ73" s="78" t="str">
        <f t="shared" si="117"/>
        <v/>
      </c>
      <c r="EK73" s="78" t="str">
        <f t="shared" si="117"/>
        <v/>
      </c>
      <c r="EL73" s="74" t="str">
        <f t="shared" si="117"/>
        <v/>
      </c>
      <c r="EM73" s="74" t="str">
        <f t="shared" si="117"/>
        <v/>
      </c>
      <c r="EN73" s="74" t="str">
        <f t="shared" si="117"/>
        <v/>
      </c>
      <c r="EO73" s="74" t="str">
        <f t="shared" si="118"/>
        <v/>
      </c>
      <c r="EP73" s="74" t="str">
        <f t="shared" si="118"/>
        <v/>
      </c>
      <c r="EQ73" s="78" t="str">
        <f t="shared" si="118"/>
        <v/>
      </c>
      <c r="ER73" s="78" t="str">
        <f t="shared" si="118"/>
        <v/>
      </c>
      <c r="ES73" s="74" t="str">
        <f t="shared" si="118"/>
        <v/>
      </c>
      <c r="ET73" s="74" t="str">
        <f t="shared" si="118"/>
        <v/>
      </c>
      <c r="EU73" s="74" t="str">
        <f t="shared" si="118"/>
        <v/>
      </c>
      <c r="EV73" s="74" t="str">
        <f t="shared" si="118"/>
        <v/>
      </c>
      <c r="EW73" s="74" t="str">
        <f t="shared" si="118"/>
        <v/>
      </c>
      <c r="EX73" s="78" t="str">
        <f t="shared" si="118"/>
        <v/>
      </c>
      <c r="EY73" s="78" t="str">
        <f t="shared" si="119"/>
        <v/>
      </c>
      <c r="EZ73" s="74" t="str">
        <f t="shared" si="119"/>
        <v/>
      </c>
      <c r="FA73" s="74" t="str">
        <f t="shared" si="119"/>
        <v/>
      </c>
      <c r="FB73" s="74" t="str">
        <f t="shared" si="119"/>
        <v/>
      </c>
      <c r="FC73" s="74" t="str">
        <f t="shared" si="119"/>
        <v/>
      </c>
      <c r="FD73" s="74" t="str">
        <f t="shared" si="119"/>
        <v/>
      </c>
      <c r="FE73" s="78" t="str">
        <f t="shared" si="119"/>
        <v/>
      </c>
      <c r="FF73" s="78" t="str">
        <f t="shared" si="119"/>
        <v/>
      </c>
      <c r="FG73" s="74" t="str">
        <f t="shared" si="119"/>
        <v/>
      </c>
      <c r="FH73" s="74" t="str">
        <f t="shared" si="119"/>
        <v/>
      </c>
      <c r="FI73" s="74" t="str">
        <f t="shared" si="120"/>
        <v/>
      </c>
      <c r="FJ73" s="74" t="str">
        <f t="shared" si="120"/>
        <v/>
      </c>
      <c r="FK73" s="74" t="str">
        <f t="shared" si="120"/>
        <v/>
      </c>
      <c r="FL73" s="78" t="str">
        <f t="shared" si="120"/>
        <v/>
      </c>
      <c r="FM73" s="78" t="str">
        <f t="shared" si="120"/>
        <v/>
      </c>
      <c r="FN73" s="74" t="str">
        <f t="shared" si="120"/>
        <v/>
      </c>
      <c r="FO73" s="74" t="str">
        <f t="shared" si="120"/>
        <v/>
      </c>
      <c r="FP73" s="74" t="str">
        <f t="shared" si="120"/>
        <v/>
      </c>
      <c r="FQ73" s="74" t="str">
        <f t="shared" si="120"/>
        <v/>
      </c>
      <c r="FR73" s="74" t="str">
        <f t="shared" si="120"/>
        <v/>
      </c>
      <c r="FS73" s="75">
        <f t="shared" si="121"/>
        <v>60</v>
      </c>
      <c r="FT73" s="75">
        <f t="shared" si="121"/>
        <v>60</v>
      </c>
      <c r="FU73" s="75">
        <f t="shared" si="121"/>
        <v>60</v>
      </c>
      <c r="FV73" s="75">
        <f t="shared" si="121"/>
        <v>60</v>
      </c>
      <c r="FW73" s="75">
        <f t="shared" si="121"/>
        <v>60</v>
      </c>
      <c r="FX73" s="75">
        <f t="shared" si="121"/>
        <v>60</v>
      </c>
      <c r="FY73" s="75">
        <f t="shared" si="121"/>
        <v>60</v>
      </c>
      <c r="FZ73" s="75">
        <f t="shared" si="121"/>
        <v>60</v>
      </c>
      <c r="GA73" s="75">
        <f t="shared" si="121"/>
        <v>60</v>
      </c>
      <c r="GB73" s="75">
        <f t="shared" si="121"/>
        <v>60</v>
      </c>
      <c r="GC73" s="75">
        <f t="shared" si="122"/>
        <v>60</v>
      </c>
      <c r="GD73" s="75">
        <f t="shared" si="122"/>
        <v>60</v>
      </c>
      <c r="GE73" s="75">
        <f t="shared" si="122"/>
        <v>60</v>
      </c>
      <c r="GF73" s="75">
        <f t="shared" si="122"/>
        <v>60</v>
      </c>
      <c r="GG73" s="76">
        <f t="shared" si="122"/>
        <v>60</v>
      </c>
      <c r="GH73" s="76">
        <f t="shared" si="122"/>
        <v>60</v>
      </c>
      <c r="GI73" s="76">
        <f t="shared" si="122"/>
        <v>60</v>
      </c>
      <c r="GJ73" s="76">
        <f t="shared" si="122"/>
        <v>60</v>
      </c>
      <c r="GK73" s="76">
        <f t="shared" si="122"/>
        <v>60</v>
      </c>
      <c r="GL73" s="76">
        <f t="shared" si="122"/>
        <v>60</v>
      </c>
      <c r="GM73" s="76">
        <f t="shared" si="123"/>
        <v>60</v>
      </c>
      <c r="GN73" s="76">
        <f t="shared" si="123"/>
        <v>60</v>
      </c>
      <c r="GO73" s="76">
        <f t="shared" si="123"/>
        <v>60</v>
      </c>
      <c r="GP73" s="76">
        <f t="shared" si="123"/>
        <v>60</v>
      </c>
      <c r="GQ73" s="77">
        <f t="shared" si="123"/>
        <v>60</v>
      </c>
      <c r="GR73" s="77">
        <f t="shared" si="123"/>
        <v>60</v>
      </c>
      <c r="GS73" s="77">
        <f t="shared" si="123"/>
        <v>60</v>
      </c>
      <c r="GT73" s="77">
        <f t="shared" si="123"/>
        <v>60</v>
      </c>
      <c r="GU73" s="77">
        <f t="shared" si="123"/>
        <v>60</v>
      </c>
      <c r="GV73" s="77">
        <f t="shared" si="123"/>
        <v>60</v>
      </c>
      <c r="GW73" s="77">
        <f t="shared" si="124"/>
        <v>60</v>
      </c>
      <c r="GX73" s="74" t="str">
        <f t="shared" si="124"/>
        <v/>
      </c>
      <c r="GY73" s="74" t="str">
        <f t="shared" si="124"/>
        <v/>
      </c>
      <c r="GZ73" s="74" t="str">
        <f t="shared" si="124"/>
        <v/>
      </c>
      <c r="HA73" s="74" t="str">
        <f t="shared" si="124"/>
        <v/>
      </c>
      <c r="HB73" s="78" t="str">
        <f t="shared" si="124"/>
        <v/>
      </c>
      <c r="HC73" s="78" t="str">
        <f t="shared" si="124"/>
        <v/>
      </c>
      <c r="HD73" s="74" t="str">
        <f t="shared" si="124"/>
        <v/>
      </c>
      <c r="HE73" s="74" t="str">
        <f t="shared" si="124"/>
        <v/>
      </c>
      <c r="HF73" s="74" t="str">
        <f t="shared" si="124"/>
        <v/>
      </c>
      <c r="HG73" s="74" t="str">
        <f t="shared" si="124"/>
        <v/>
      </c>
      <c r="HH73" s="74" t="str">
        <f t="shared" si="124"/>
        <v/>
      </c>
    </row>
    <row r="74" spans="1:216" x14ac:dyDescent="0.2">
      <c r="A74" s="82" t="str">
        <f>'FY1 Event Pipeline'!A15</f>
        <v>BRED</v>
      </c>
      <c r="B74" s="83">
        <f>_xlfn.XLOOKUP(A74,'FY1 Event Pipeline'!$A$4:$A$15,'FY1 Event Pipeline'!$H$4:$H$15)</f>
        <v>46492</v>
      </c>
      <c r="C74" s="83">
        <f>_xlfn.XLOOKUP(A74,'FY1 Event Pipeline'!$A$4:$A$15,'FY1 Event Pipeline'!$J$4:$J$15)</f>
        <v>46506</v>
      </c>
      <c r="D74" s="84">
        <f>_xlfn.XLOOKUP(A74,'FY1 Event Pipeline'!$A$4:$A$15,'FY1 Event Pipeline'!$R$4:$R$15)</f>
        <v>0</v>
      </c>
      <c r="E74" s="74" t="str">
        <f t="shared" si="104"/>
        <v/>
      </c>
      <c r="F74" s="74" t="str">
        <f t="shared" si="104"/>
        <v/>
      </c>
      <c r="G74" s="78" t="str">
        <f t="shared" si="104"/>
        <v/>
      </c>
      <c r="H74" s="78" t="str">
        <f t="shared" si="104"/>
        <v/>
      </c>
      <c r="I74" s="74" t="str">
        <f t="shared" si="104"/>
        <v/>
      </c>
      <c r="J74" s="74" t="str">
        <f t="shared" si="104"/>
        <v/>
      </c>
      <c r="K74" s="74" t="str">
        <f t="shared" si="104"/>
        <v/>
      </c>
      <c r="L74" s="74" t="str">
        <f t="shared" si="104"/>
        <v/>
      </c>
      <c r="M74" s="74" t="str">
        <f t="shared" si="104"/>
        <v/>
      </c>
      <c r="N74" s="78" t="str">
        <f t="shared" si="104"/>
        <v/>
      </c>
      <c r="O74" s="78" t="str">
        <f t="shared" si="105"/>
        <v/>
      </c>
      <c r="P74" s="74" t="str">
        <f t="shared" si="105"/>
        <v/>
      </c>
      <c r="Q74" s="74" t="str">
        <f t="shared" si="105"/>
        <v/>
      </c>
      <c r="R74" s="74" t="str">
        <f t="shared" si="105"/>
        <v/>
      </c>
      <c r="S74" s="74" t="str">
        <f t="shared" si="105"/>
        <v/>
      </c>
      <c r="T74" s="74" t="str">
        <f t="shared" si="105"/>
        <v/>
      </c>
      <c r="U74" s="78" t="str">
        <f t="shared" si="105"/>
        <v/>
      </c>
      <c r="V74" s="78" t="str">
        <f t="shared" si="105"/>
        <v/>
      </c>
      <c r="W74" s="74" t="str">
        <f t="shared" si="105"/>
        <v/>
      </c>
      <c r="X74" s="74" t="str">
        <f t="shared" si="105"/>
        <v/>
      </c>
      <c r="Y74" s="74" t="str">
        <f t="shared" si="106"/>
        <v/>
      </c>
      <c r="Z74" s="74" t="str">
        <f t="shared" si="106"/>
        <v/>
      </c>
      <c r="AA74" s="74" t="str">
        <f t="shared" si="106"/>
        <v/>
      </c>
      <c r="AB74" s="78" t="str">
        <f t="shared" si="106"/>
        <v/>
      </c>
      <c r="AC74" s="78" t="str">
        <f t="shared" si="106"/>
        <v/>
      </c>
      <c r="AD74" s="74" t="str">
        <f t="shared" si="106"/>
        <v/>
      </c>
      <c r="AE74" s="74" t="str">
        <f t="shared" si="106"/>
        <v/>
      </c>
      <c r="AF74" s="74" t="str">
        <f t="shared" si="106"/>
        <v/>
      </c>
      <c r="AG74" s="74" t="str">
        <f t="shared" si="106"/>
        <v/>
      </c>
      <c r="AH74" s="74" t="str">
        <f t="shared" si="106"/>
        <v/>
      </c>
      <c r="AI74" s="78" t="str">
        <f t="shared" si="107"/>
        <v/>
      </c>
      <c r="AJ74" s="78" t="str">
        <f t="shared" si="107"/>
        <v/>
      </c>
      <c r="AK74" s="74" t="str">
        <f t="shared" si="107"/>
        <v/>
      </c>
      <c r="AL74" s="74" t="str">
        <f t="shared" si="107"/>
        <v/>
      </c>
      <c r="AM74" s="74" t="str">
        <f t="shared" si="107"/>
        <v/>
      </c>
      <c r="AN74" s="74" t="str">
        <f t="shared" si="107"/>
        <v/>
      </c>
      <c r="AO74" s="74" t="str">
        <f t="shared" si="107"/>
        <v/>
      </c>
      <c r="AP74" s="78" t="str">
        <f t="shared" si="107"/>
        <v/>
      </c>
      <c r="AQ74" s="78" t="str">
        <f t="shared" si="107"/>
        <v/>
      </c>
      <c r="AR74" s="74" t="str">
        <f t="shared" si="107"/>
        <v/>
      </c>
      <c r="AS74" s="74" t="str">
        <f t="shared" si="108"/>
        <v/>
      </c>
      <c r="AT74" s="74" t="str">
        <f t="shared" si="108"/>
        <v/>
      </c>
      <c r="AU74" s="74" t="str">
        <f t="shared" si="108"/>
        <v/>
      </c>
      <c r="AV74" s="74" t="str">
        <f t="shared" si="108"/>
        <v/>
      </c>
      <c r="AW74" s="78" t="str">
        <f t="shared" si="108"/>
        <v/>
      </c>
      <c r="AX74" s="78" t="str">
        <f t="shared" si="108"/>
        <v/>
      </c>
      <c r="AY74" s="74" t="str">
        <f t="shared" si="108"/>
        <v/>
      </c>
      <c r="AZ74" s="74" t="str">
        <f t="shared" si="108"/>
        <v/>
      </c>
      <c r="BA74" s="74" t="str">
        <f t="shared" si="108"/>
        <v/>
      </c>
      <c r="BB74" s="74" t="str">
        <f t="shared" si="108"/>
        <v/>
      </c>
      <c r="BC74" s="74" t="str">
        <f t="shared" si="109"/>
        <v/>
      </c>
      <c r="BD74" s="78" t="str">
        <f t="shared" si="109"/>
        <v/>
      </c>
      <c r="BE74" s="78" t="str">
        <f t="shared" si="109"/>
        <v/>
      </c>
      <c r="BF74" s="74" t="str">
        <f t="shared" si="109"/>
        <v/>
      </c>
      <c r="BG74" s="74" t="str">
        <f t="shared" si="109"/>
        <v/>
      </c>
      <c r="BH74" s="74" t="str">
        <f t="shared" si="109"/>
        <v/>
      </c>
      <c r="BI74" s="74" t="str">
        <f t="shared" si="109"/>
        <v/>
      </c>
      <c r="BJ74" s="74" t="str">
        <f t="shared" si="109"/>
        <v/>
      </c>
      <c r="BK74" s="78" t="str">
        <f t="shared" si="109"/>
        <v/>
      </c>
      <c r="BL74" s="78" t="str">
        <f t="shared" si="109"/>
        <v/>
      </c>
      <c r="BM74" s="74" t="str">
        <f t="shared" si="110"/>
        <v/>
      </c>
      <c r="BN74" s="74" t="str">
        <f t="shared" si="110"/>
        <v/>
      </c>
      <c r="BO74" s="74" t="str">
        <f t="shared" si="110"/>
        <v/>
      </c>
      <c r="BP74" s="74" t="str">
        <f t="shared" si="110"/>
        <v/>
      </c>
      <c r="BQ74" s="74" t="str">
        <f t="shared" si="110"/>
        <v/>
      </c>
      <c r="BR74" s="78" t="str">
        <f t="shared" si="110"/>
        <v/>
      </c>
      <c r="BS74" s="78" t="str">
        <f t="shared" si="110"/>
        <v/>
      </c>
      <c r="BT74" s="74" t="str">
        <f t="shared" si="110"/>
        <v/>
      </c>
      <c r="BU74" s="74" t="str">
        <f t="shared" si="110"/>
        <v/>
      </c>
      <c r="BV74" s="74" t="str">
        <f t="shared" si="110"/>
        <v/>
      </c>
      <c r="BW74" s="74" t="str">
        <f t="shared" si="111"/>
        <v/>
      </c>
      <c r="BX74" s="74" t="str">
        <f t="shared" si="111"/>
        <v/>
      </c>
      <c r="BY74" s="78" t="str">
        <f t="shared" si="111"/>
        <v/>
      </c>
      <c r="BZ74" s="78" t="str">
        <f t="shared" si="111"/>
        <v/>
      </c>
      <c r="CA74" s="74" t="str">
        <f t="shared" si="111"/>
        <v/>
      </c>
      <c r="CB74" s="74" t="str">
        <f t="shared" si="111"/>
        <v/>
      </c>
      <c r="CC74" s="74" t="str">
        <f t="shared" si="111"/>
        <v/>
      </c>
      <c r="CD74" s="74" t="str">
        <f t="shared" si="111"/>
        <v/>
      </c>
      <c r="CE74" s="74" t="str">
        <f t="shared" si="111"/>
        <v/>
      </c>
      <c r="CF74" s="78" t="str">
        <f t="shared" si="111"/>
        <v/>
      </c>
      <c r="CG74" s="78" t="str">
        <f t="shared" si="112"/>
        <v/>
      </c>
      <c r="CH74" s="74" t="str">
        <f t="shared" si="112"/>
        <v/>
      </c>
      <c r="CI74" s="74" t="str">
        <f t="shared" si="112"/>
        <v/>
      </c>
      <c r="CJ74" s="74" t="str">
        <f t="shared" si="112"/>
        <v/>
      </c>
      <c r="CK74" s="74" t="str">
        <f t="shared" si="112"/>
        <v/>
      </c>
      <c r="CL74" s="74" t="str">
        <f t="shared" si="112"/>
        <v/>
      </c>
      <c r="CM74" s="78" t="str">
        <f t="shared" si="112"/>
        <v/>
      </c>
      <c r="CN74" s="78" t="str">
        <f t="shared" si="112"/>
        <v/>
      </c>
      <c r="CO74" s="74" t="str">
        <f t="shared" si="112"/>
        <v/>
      </c>
      <c r="CP74" s="74" t="str">
        <f t="shared" si="112"/>
        <v/>
      </c>
      <c r="CQ74" s="74" t="str">
        <f t="shared" si="113"/>
        <v/>
      </c>
      <c r="CR74" s="74" t="str">
        <f t="shared" si="113"/>
        <v/>
      </c>
      <c r="CS74" s="74" t="str">
        <f t="shared" si="113"/>
        <v/>
      </c>
      <c r="CT74" s="78" t="str">
        <f t="shared" si="113"/>
        <v/>
      </c>
      <c r="CU74" s="78" t="str">
        <f t="shared" si="113"/>
        <v/>
      </c>
      <c r="CV74" s="74" t="str">
        <f t="shared" si="113"/>
        <v/>
      </c>
      <c r="CW74" s="74" t="str">
        <f t="shared" si="113"/>
        <v/>
      </c>
      <c r="CX74" s="74" t="str">
        <f t="shared" si="113"/>
        <v/>
      </c>
      <c r="CY74" s="74" t="str">
        <f t="shared" si="113"/>
        <v/>
      </c>
      <c r="CZ74" s="74" t="str">
        <f t="shared" si="113"/>
        <v/>
      </c>
      <c r="DA74" s="78" t="str">
        <f t="shared" si="114"/>
        <v/>
      </c>
      <c r="DB74" s="78" t="str">
        <f t="shared" si="114"/>
        <v/>
      </c>
      <c r="DC74" s="74" t="str">
        <f t="shared" si="114"/>
        <v/>
      </c>
      <c r="DD74" s="74" t="str">
        <f t="shared" si="114"/>
        <v/>
      </c>
      <c r="DE74" s="74" t="str">
        <f t="shared" si="114"/>
        <v/>
      </c>
      <c r="DF74" s="74" t="str">
        <f t="shared" si="114"/>
        <v/>
      </c>
      <c r="DG74" s="74" t="str">
        <f t="shared" si="114"/>
        <v/>
      </c>
      <c r="DH74" s="78" t="str">
        <f t="shared" si="114"/>
        <v/>
      </c>
      <c r="DI74" s="78" t="str">
        <f t="shared" si="114"/>
        <v/>
      </c>
      <c r="DJ74" s="74" t="str">
        <f t="shared" si="114"/>
        <v/>
      </c>
      <c r="DK74" s="74" t="str">
        <f t="shared" si="115"/>
        <v/>
      </c>
      <c r="DL74" s="74" t="str">
        <f t="shared" si="115"/>
        <v/>
      </c>
      <c r="DM74" s="74" t="str">
        <f t="shared" si="115"/>
        <v/>
      </c>
      <c r="DN74" s="74" t="str">
        <f t="shared" si="115"/>
        <v/>
      </c>
      <c r="DO74" s="78" t="str">
        <f t="shared" si="115"/>
        <v/>
      </c>
      <c r="DP74" s="78" t="str">
        <f t="shared" si="115"/>
        <v/>
      </c>
      <c r="DQ74" s="74" t="str">
        <f t="shared" si="115"/>
        <v/>
      </c>
      <c r="DR74" s="74" t="str">
        <f t="shared" si="115"/>
        <v/>
      </c>
      <c r="DS74" s="74" t="str">
        <f t="shared" si="115"/>
        <v/>
      </c>
      <c r="DT74" s="74" t="str">
        <f t="shared" si="115"/>
        <v/>
      </c>
      <c r="DU74" s="74" t="str">
        <f t="shared" si="116"/>
        <v/>
      </c>
      <c r="DV74" s="78" t="str">
        <f t="shared" si="116"/>
        <v/>
      </c>
      <c r="DW74" s="78" t="str">
        <f t="shared" si="116"/>
        <v/>
      </c>
      <c r="DX74" s="74" t="str">
        <f t="shared" si="116"/>
        <v/>
      </c>
      <c r="DY74" s="74" t="str">
        <f t="shared" si="116"/>
        <v/>
      </c>
      <c r="DZ74" s="74" t="str">
        <f t="shared" si="116"/>
        <v/>
      </c>
      <c r="EA74" s="74" t="str">
        <f t="shared" si="116"/>
        <v/>
      </c>
      <c r="EB74" s="74" t="str">
        <f t="shared" si="116"/>
        <v/>
      </c>
      <c r="EC74" s="78" t="str">
        <f t="shared" si="116"/>
        <v/>
      </c>
      <c r="ED74" s="78" t="str">
        <f t="shared" si="116"/>
        <v/>
      </c>
      <c r="EE74" s="74" t="str">
        <f t="shared" si="117"/>
        <v/>
      </c>
      <c r="EF74" s="74" t="str">
        <f t="shared" si="117"/>
        <v/>
      </c>
      <c r="EG74" s="74" t="str">
        <f t="shared" si="117"/>
        <v/>
      </c>
      <c r="EH74" s="74" t="str">
        <f t="shared" si="117"/>
        <v/>
      </c>
      <c r="EI74" s="74" t="str">
        <f t="shared" si="117"/>
        <v/>
      </c>
      <c r="EJ74" s="78" t="str">
        <f t="shared" si="117"/>
        <v/>
      </c>
      <c r="EK74" s="78" t="str">
        <f t="shared" si="117"/>
        <v/>
      </c>
      <c r="EL74" s="74" t="str">
        <f t="shared" si="117"/>
        <v/>
      </c>
      <c r="EM74" s="74" t="str">
        <f t="shared" si="117"/>
        <v/>
      </c>
      <c r="EN74" s="74" t="str">
        <f t="shared" si="117"/>
        <v/>
      </c>
      <c r="EO74" s="74" t="str">
        <f t="shared" si="118"/>
        <v/>
      </c>
      <c r="EP74" s="74" t="str">
        <f t="shared" si="118"/>
        <v/>
      </c>
      <c r="EQ74" s="78" t="str">
        <f t="shared" si="118"/>
        <v/>
      </c>
      <c r="ER74" s="78" t="str">
        <f t="shared" si="118"/>
        <v/>
      </c>
      <c r="ES74" s="74" t="str">
        <f t="shared" si="118"/>
        <v/>
      </c>
      <c r="ET74" s="74" t="str">
        <f t="shared" si="118"/>
        <v/>
      </c>
      <c r="EU74" s="74" t="str">
        <f t="shared" si="118"/>
        <v/>
      </c>
      <c r="EV74" s="74" t="str">
        <f t="shared" si="118"/>
        <v/>
      </c>
      <c r="EW74" s="74" t="str">
        <f t="shared" si="118"/>
        <v/>
      </c>
      <c r="EX74" s="78" t="str">
        <f t="shared" si="118"/>
        <v/>
      </c>
      <c r="EY74" s="78" t="str">
        <f t="shared" si="119"/>
        <v/>
      </c>
      <c r="EZ74" s="74" t="str">
        <f t="shared" si="119"/>
        <v/>
      </c>
      <c r="FA74" s="74" t="str">
        <f t="shared" si="119"/>
        <v/>
      </c>
      <c r="FB74" s="74" t="str">
        <f t="shared" si="119"/>
        <v/>
      </c>
      <c r="FC74" s="74" t="str">
        <f t="shared" si="119"/>
        <v/>
      </c>
      <c r="FD74" s="74" t="str">
        <f t="shared" si="119"/>
        <v/>
      </c>
      <c r="FE74" s="78" t="str">
        <f t="shared" si="119"/>
        <v/>
      </c>
      <c r="FF74" s="78" t="str">
        <f t="shared" si="119"/>
        <v/>
      </c>
      <c r="FG74" s="74" t="str">
        <f t="shared" si="119"/>
        <v/>
      </c>
      <c r="FH74" s="74" t="str">
        <f t="shared" si="119"/>
        <v/>
      </c>
      <c r="FI74" s="74" t="str">
        <f t="shared" si="120"/>
        <v/>
      </c>
      <c r="FJ74" s="74" t="str">
        <f t="shared" si="120"/>
        <v/>
      </c>
      <c r="FK74" s="74" t="str">
        <f t="shared" si="120"/>
        <v/>
      </c>
      <c r="FL74" s="78" t="str">
        <f t="shared" si="120"/>
        <v/>
      </c>
      <c r="FM74" s="78" t="str">
        <f t="shared" si="120"/>
        <v/>
      </c>
      <c r="FN74" s="74" t="str">
        <f t="shared" si="120"/>
        <v/>
      </c>
      <c r="FO74" s="74" t="str">
        <f t="shared" si="120"/>
        <v/>
      </c>
      <c r="FP74" s="74" t="str">
        <f t="shared" si="120"/>
        <v/>
      </c>
      <c r="FQ74" s="74" t="str">
        <f t="shared" si="120"/>
        <v/>
      </c>
      <c r="FR74" s="74" t="str">
        <f t="shared" si="120"/>
        <v/>
      </c>
      <c r="FS74" s="78" t="str">
        <f t="shared" si="121"/>
        <v/>
      </c>
      <c r="FT74" s="78" t="str">
        <f t="shared" si="121"/>
        <v/>
      </c>
      <c r="FU74" s="74" t="str">
        <f t="shared" si="121"/>
        <v/>
      </c>
      <c r="FV74" s="74" t="str">
        <f t="shared" si="121"/>
        <v/>
      </c>
      <c r="FW74" s="74" t="str">
        <f t="shared" si="121"/>
        <v/>
      </c>
      <c r="FX74" s="74" t="str">
        <f t="shared" si="121"/>
        <v/>
      </c>
      <c r="FY74" s="74" t="str">
        <f t="shared" si="121"/>
        <v/>
      </c>
      <c r="FZ74" s="78" t="str">
        <f t="shared" si="121"/>
        <v/>
      </c>
      <c r="GA74" s="78" t="str">
        <f t="shared" si="121"/>
        <v/>
      </c>
      <c r="GB74" s="74" t="str">
        <f t="shared" si="121"/>
        <v/>
      </c>
      <c r="GC74" s="74" t="str">
        <f t="shared" si="122"/>
        <v/>
      </c>
      <c r="GD74" s="74" t="str">
        <f t="shared" si="122"/>
        <v/>
      </c>
      <c r="GE74" s="74" t="str">
        <f t="shared" si="122"/>
        <v/>
      </c>
      <c r="GF74" s="74" t="str">
        <f t="shared" si="122"/>
        <v/>
      </c>
      <c r="GG74" s="78" t="str">
        <f t="shared" si="122"/>
        <v/>
      </c>
      <c r="GH74" s="78" t="str">
        <f t="shared" si="122"/>
        <v/>
      </c>
      <c r="GI74" s="74" t="str">
        <f t="shared" si="122"/>
        <v/>
      </c>
      <c r="GJ74" s="74" t="str">
        <f t="shared" si="122"/>
        <v/>
      </c>
      <c r="GK74" s="74" t="str">
        <f t="shared" si="122"/>
        <v/>
      </c>
      <c r="GL74" s="74" t="str">
        <f t="shared" si="122"/>
        <v/>
      </c>
      <c r="GM74" s="74" t="str">
        <f t="shared" si="123"/>
        <v/>
      </c>
      <c r="GN74" s="78" t="str">
        <f t="shared" si="123"/>
        <v/>
      </c>
      <c r="GO74" s="78" t="str">
        <f t="shared" si="123"/>
        <v/>
      </c>
      <c r="GP74" s="74" t="str">
        <f t="shared" si="123"/>
        <v/>
      </c>
      <c r="GQ74" s="74" t="str">
        <f t="shared" si="123"/>
        <v/>
      </c>
      <c r="GR74" s="74" t="str">
        <f t="shared" si="123"/>
        <v/>
      </c>
      <c r="GS74" s="75">
        <f t="shared" si="123"/>
        <v>0</v>
      </c>
      <c r="GT74" s="75">
        <f t="shared" si="123"/>
        <v>0</v>
      </c>
      <c r="GU74" s="75">
        <f t="shared" si="123"/>
        <v>0</v>
      </c>
      <c r="GV74" s="75">
        <f t="shared" si="123"/>
        <v>0</v>
      </c>
      <c r="GW74" s="75">
        <f t="shared" si="124"/>
        <v>0</v>
      </c>
      <c r="GX74" s="75">
        <f t="shared" si="124"/>
        <v>0</v>
      </c>
      <c r="GY74" s="75">
        <f t="shared" si="124"/>
        <v>0</v>
      </c>
      <c r="GZ74" s="76">
        <f t="shared" si="124"/>
        <v>0</v>
      </c>
      <c r="HA74" s="76">
        <f t="shared" si="124"/>
        <v>0</v>
      </c>
      <c r="HB74" s="76">
        <f t="shared" si="124"/>
        <v>0</v>
      </c>
      <c r="HC74" s="76">
        <f t="shared" si="124"/>
        <v>0</v>
      </c>
      <c r="HD74" s="76">
        <f t="shared" si="124"/>
        <v>0</v>
      </c>
      <c r="HE74" s="77">
        <f t="shared" si="124"/>
        <v>0</v>
      </c>
      <c r="HF74" s="77">
        <f t="shared" si="124"/>
        <v>0</v>
      </c>
      <c r="HG74" s="77">
        <f t="shared" si="124"/>
        <v>0</v>
      </c>
      <c r="HH74" s="74" t="str">
        <f t="shared" si="124"/>
        <v/>
      </c>
    </row>
    <row r="75" spans="1:216" x14ac:dyDescent="0.2">
      <c r="A75" s="79" t="s">
        <v>255</v>
      </c>
      <c r="B75" s="79"/>
      <c r="C75" s="79"/>
      <c r="D75" s="80">
        <f>MAX(E75:HH75)</f>
        <v>940</v>
      </c>
      <c r="E75" s="81">
        <f t="shared" ref="E75:BP75" si="125">SUM(E63:E74)</f>
        <v>0</v>
      </c>
      <c r="F75" s="81">
        <f t="shared" si="125"/>
        <v>280</v>
      </c>
      <c r="G75" s="81">
        <f t="shared" si="125"/>
        <v>280</v>
      </c>
      <c r="H75" s="81">
        <f t="shared" si="125"/>
        <v>280</v>
      </c>
      <c r="I75" s="81">
        <f t="shared" si="125"/>
        <v>280</v>
      </c>
      <c r="J75" s="81">
        <f t="shared" si="125"/>
        <v>280</v>
      </c>
      <c r="K75" s="81">
        <f t="shared" si="125"/>
        <v>280</v>
      </c>
      <c r="L75" s="81">
        <f t="shared" si="125"/>
        <v>280</v>
      </c>
      <c r="M75" s="81">
        <f t="shared" si="125"/>
        <v>280</v>
      </c>
      <c r="N75" s="81">
        <f t="shared" si="125"/>
        <v>280</v>
      </c>
      <c r="O75" s="81">
        <f t="shared" si="125"/>
        <v>280</v>
      </c>
      <c r="P75" s="81">
        <f t="shared" si="125"/>
        <v>280</v>
      </c>
      <c r="Q75" s="81">
        <f t="shared" si="125"/>
        <v>280</v>
      </c>
      <c r="R75" s="81">
        <f t="shared" si="125"/>
        <v>280</v>
      </c>
      <c r="S75" s="81">
        <f t="shared" si="125"/>
        <v>280</v>
      </c>
      <c r="T75" s="81">
        <f t="shared" si="125"/>
        <v>280</v>
      </c>
      <c r="U75" s="81">
        <f t="shared" si="125"/>
        <v>280</v>
      </c>
      <c r="V75" s="81">
        <f t="shared" si="125"/>
        <v>280</v>
      </c>
      <c r="W75" s="81">
        <f t="shared" si="125"/>
        <v>280</v>
      </c>
      <c r="X75" s="81">
        <f t="shared" si="125"/>
        <v>280</v>
      </c>
      <c r="Y75" s="81">
        <f t="shared" si="125"/>
        <v>280</v>
      </c>
      <c r="Z75" s="81">
        <f t="shared" si="125"/>
        <v>280</v>
      </c>
      <c r="AA75" s="81">
        <f t="shared" si="125"/>
        <v>280</v>
      </c>
      <c r="AB75" s="81">
        <f t="shared" si="125"/>
        <v>280</v>
      </c>
      <c r="AC75" s="81">
        <f t="shared" si="125"/>
        <v>280</v>
      </c>
      <c r="AD75" s="81">
        <f t="shared" si="125"/>
        <v>280</v>
      </c>
      <c r="AE75" s="81">
        <f t="shared" si="125"/>
        <v>280</v>
      </c>
      <c r="AF75" s="81">
        <f t="shared" si="125"/>
        <v>280</v>
      </c>
      <c r="AG75" s="81">
        <f t="shared" si="125"/>
        <v>280</v>
      </c>
      <c r="AH75" s="81">
        <f t="shared" si="125"/>
        <v>280</v>
      </c>
      <c r="AI75" s="81">
        <f t="shared" si="125"/>
        <v>280</v>
      </c>
      <c r="AJ75" s="81">
        <f t="shared" si="125"/>
        <v>280</v>
      </c>
      <c r="AK75" s="81">
        <f t="shared" si="125"/>
        <v>280</v>
      </c>
      <c r="AL75" s="81">
        <f t="shared" si="125"/>
        <v>280</v>
      </c>
      <c r="AM75" s="81">
        <f t="shared" si="125"/>
        <v>280</v>
      </c>
      <c r="AN75" s="81">
        <f t="shared" si="125"/>
        <v>280</v>
      </c>
      <c r="AO75" s="81">
        <f t="shared" si="125"/>
        <v>480</v>
      </c>
      <c r="AP75" s="81">
        <f t="shared" si="125"/>
        <v>480</v>
      </c>
      <c r="AQ75" s="81">
        <f t="shared" si="125"/>
        <v>480</v>
      </c>
      <c r="AR75" s="81">
        <f t="shared" si="125"/>
        <v>480</v>
      </c>
      <c r="AS75" s="81">
        <f t="shared" si="125"/>
        <v>480</v>
      </c>
      <c r="AT75" s="81">
        <f t="shared" si="125"/>
        <v>480</v>
      </c>
      <c r="AU75" s="81">
        <f t="shared" si="125"/>
        <v>480</v>
      </c>
      <c r="AV75" s="81">
        <f t="shared" si="125"/>
        <v>480</v>
      </c>
      <c r="AW75" s="81">
        <f t="shared" si="125"/>
        <v>680</v>
      </c>
      <c r="AX75" s="81">
        <f t="shared" si="125"/>
        <v>680</v>
      </c>
      <c r="AY75" s="81">
        <f t="shared" si="125"/>
        <v>680</v>
      </c>
      <c r="AZ75" s="81">
        <f t="shared" si="125"/>
        <v>680</v>
      </c>
      <c r="BA75" s="81">
        <f t="shared" si="125"/>
        <v>680</v>
      </c>
      <c r="BB75" s="81">
        <f t="shared" si="125"/>
        <v>680</v>
      </c>
      <c r="BC75" s="81">
        <f t="shared" si="125"/>
        <v>880</v>
      </c>
      <c r="BD75" s="81">
        <f t="shared" si="125"/>
        <v>880</v>
      </c>
      <c r="BE75" s="81">
        <f t="shared" si="125"/>
        <v>880</v>
      </c>
      <c r="BF75" s="81">
        <f t="shared" si="125"/>
        <v>880</v>
      </c>
      <c r="BG75" s="81">
        <f t="shared" si="125"/>
        <v>880</v>
      </c>
      <c r="BH75" s="81">
        <f t="shared" si="125"/>
        <v>880</v>
      </c>
      <c r="BI75" s="81">
        <f t="shared" si="125"/>
        <v>940</v>
      </c>
      <c r="BJ75" s="81">
        <f t="shared" si="125"/>
        <v>918</v>
      </c>
      <c r="BK75" s="81">
        <f t="shared" si="125"/>
        <v>718</v>
      </c>
      <c r="BL75" s="81">
        <f t="shared" si="125"/>
        <v>718</v>
      </c>
      <c r="BM75" s="81">
        <f t="shared" si="125"/>
        <v>718</v>
      </c>
      <c r="BN75" s="81">
        <f t="shared" si="125"/>
        <v>718</v>
      </c>
      <c r="BO75" s="81">
        <f t="shared" si="125"/>
        <v>718</v>
      </c>
      <c r="BP75" s="81">
        <f t="shared" si="125"/>
        <v>718</v>
      </c>
      <c r="BQ75" s="81">
        <f t="shared" ref="BQ75:EB75" si="126">SUM(BQ63:BQ74)</f>
        <v>718</v>
      </c>
      <c r="BR75" s="81">
        <f t="shared" si="126"/>
        <v>718</v>
      </c>
      <c r="BS75" s="81">
        <f t="shared" si="126"/>
        <v>718</v>
      </c>
      <c r="BT75" s="81">
        <f t="shared" si="126"/>
        <v>718</v>
      </c>
      <c r="BU75" s="81">
        <f t="shared" si="126"/>
        <v>718</v>
      </c>
      <c r="BV75" s="81">
        <f t="shared" si="126"/>
        <v>718</v>
      </c>
      <c r="BW75" s="81">
        <f t="shared" si="126"/>
        <v>540</v>
      </c>
      <c r="BX75" s="81">
        <f t="shared" si="126"/>
        <v>540</v>
      </c>
      <c r="BY75" s="81">
        <f t="shared" si="126"/>
        <v>540</v>
      </c>
      <c r="BZ75" s="81">
        <f t="shared" si="126"/>
        <v>540</v>
      </c>
      <c r="CA75" s="81">
        <f t="shared" si="126"/>
        <v>540</v>
      </c>
      <c r="CB75" s="81">
        <f t="shared" si="126"/>
        <v>540</v>
      </c>
      <c r="CC75" s="81">
        <f t="shared" si="126"/>
        <v>540</v>
      </c>
      <c r="CD75" s="81">
        <f t="shared" si="126"/>
        <v>540</v>
      </c>
      <c r="CE75" s="81">
        <f t="shared" si="126"/>
        <v>540</v>
      </c>
      <c r="CF75" s="81">
        <f t="shared" si="126"/>
        <v>540</v>
      </c>
      <c r="CG75" s="81">
        <f t="shared" si="126"/>
        <v>540</v>
      </c>
      <c r="CH75" s="81">
        <f t="shared" si="126"/>
        <v>540</v>
      </c>
      <c r="CI75" s="81">
        <f t="shared" si="126"/>
        <v>540</v>
      </c>
      <c r="CJ75" s="81">
        <f t="shared" si="126"/>
        <v>540</v>
      </c>
      <c r="CK75" s="81">
        <f t="shared" si="126"/>
        <v>540</v>
      </c>
      <c r="CL75" s="81">
        <f t="shared" si="126"/>
        <v>540</v>
      </c>
      <c r="CM75" s="81">
        <f t="shared" si="126"/>
        <v>540</v>
      </c>
      <c r="CN75" s="81">
        <f t="shared" si="126"/>
        <v>540</v>
      </c>
      <c r="CO75" s="81">
        <f t="shared" si="126"/>
        <v>540</v>
      </c>
      <c r="CP75" s="81">
        <f t="shared" si="126"/>
        <v>480</v>
      </c>
      <c r="CQ75" s="81">
        <f t="shared" si="126"/>
        <v>480</v>
      </c>
      <c r="CR75" s="81">
        <f t="shared" si="126"/>
        <v>480</v>
      </c>
      <c r="CS75" s="81">
        <f t="shared" si="126"/>
        <v>480</v>
      </c>
      <c r="CT75" s="81">
        <f t="shared" si="126"/>
        <v>480</v>
      </c>
      <c r="CU75" s="81">
        <f t="shared" si="126"/>
        <v>480</v>
      </c>
      <c r="CV75" s="81">
        <f t="shared" si="126"/>
        <v>480</v>
      </c>
      <c r="CW75" s="81">
        <f t="shared" si="126"/>
        <v>480</v>
      </c>
      <c r="CX75" s="81">
        <f t="shared" si="126"/>
        <v>480</v>
      </c>
      <c r="CY75" s="81">
        <f t="shared" si="126"/>
        <v>480</v>
      </c>
      <c r="CZ75" s="81">
        <f t="shared" si="126"/>
        <v>480</v>
      </c>
      <c r="DA75" s="81">
        <f t="shared" si="126"/>
        <v>480</v>
      </c>
      <c r="DB75" s="81">
        <f t="shared" si="126"/>
        <v>480</v>
      </c>
      <c r="DC75" s="81">
        <f t="shared" si="126"/>
        <v>480</v>
      </c>
      <c r="DD75" s="81">
        <f t="shared" si="126"/>
        <v>280</v>
      </c>
      <c r="DE75" s="81">
        <f t="shared" si="126"/>
        <v>280</v>
      </c>
      <c r="DF75" s="81">
        <f t="shared" si="126"/>
        <v>280</v>
      </c>
      <c r="DG75" s="81">
        <f t="shared" si="126"/>
        <v>280</v>
      </c>
      <c r="DH75" s="81">
        <f t="shared" si="126"/>
        <v>280</v>
      </c>
      <c r="DI75" s="81">
        <f t="shared" si="126"/>
        <v>280</v>
      </c>
      <c r="DJ75" s="81">
        <f t="shared" si="126"/>
        <v>280</v>
      </c>
      <c r="DK75" s="81">
        <f t="shared" si="126"/>
        <v>280</v>
      </c>
      <c r="DL75" s="81">
        <f t="shared" si="126"/>
        <v>280</v>
      </c>
      <c r="DM75" s="81">
        <f t="shared" si="126"/>
        <v>280</v>
      </c>
      <c r="DN75" s="81">
        <f t="shared" si="126"/>
        <v>280</v>
      </c>
      <c r="DO75" s="81">
        <f t="shared" si="126"/>
        <v>280</v>
      </c>
      <c r="DP75" s="81">
        <f t="shared" si="126"/>
        <v>280</v>
      </c>
      <c r="DQ75" s="81">
        <f t="shared" si="126"/>
        <v>280</v>
      </c>
      <c r="DR75" s="81">
        <f t="shared" si="126"/>
        <v>280</v>
      </c>
      <c r="DS75" s="81">
        <f t="shared" si="126"/>
        <v>280</v>
      </c>
      <c r="DT75" s="81">
        <f t="shared" si="126"/>
        <v>280</v>
      </c>
      <c r="DU75" s="81">
        <f t="shared" si="126"/>
        <v>280</v>
      </c>
      <c r="DV75" s="81">
        <f t="shared" si="126"/>
        <v>280</v>
      </c>
      <c r="DW75" s="81">
        <f t="shared" si="126"/>
        <v>280</v>
      </c>
      <c r="DX75" s="81">
        <f t="shared" si="126"/>
        <v>280</v>
      </c>
      <c r="DY75" s="81">
        <f t="shared" si="126"/>
        <v>280</v>
      </c>
      <c r="DZ75" s="81">
        <f t="shared" si="126"/>
        <v>280</v>
      </c>
      <c r="EA75" s="81">
        <f t="shared" si="126"/>
        <v>280</v>
      </c>
      <c r="EB75" s="81">
        <f t="shared" si="126"/>
        <v>280</v>
      </c>
      <c r="EC75" s="81">
        <f t="shared" ref="EC75:GN75" si="127">SUM(EC63:EC74)</f>
        <v>280</v>
      </c>
      <c r="ED75" s="81">
        <f t="shared" si="127"/>
        <v>280</v>
      </c>
      <c r="EE75" s="81">
        <f t="shared" si="127"/>
        <v>280</v>
      </c>
      <c r="EF75" s="81">
        <f t="shared" si="127"/>
        <v>280</v>
      </c>
      <c r="EG75" s="81">
        <f t="shared" si="127"/>
        <v>280</v>
      </c>
      <c r="EH75" s="81">
        <f t="shared" si="127"/>
        <v>280</v>
      </c>
      <c r="EI75" s="81">
        <f t="shared" si="127"/>
        <v>280</v>
      </c>
      <c r="EJ75" s="81">
        <f t="shared" si="127"/>
        <v>280</v>
      </c>
      <c r="EK75" s="81">
        <f t="shared" si="127"/>
        <v>280</v>
      </c>
      <c r="EL75" s="81">
        <f t="shared" si="127"/>
        <v>280</v>
      </c>
      <c r="EM75" s="81">
        <f t="shared" si="127"/>
        <v>280</v>
      </c>
      <c r="EN75" s="81">
        <f t="shared" si="127"/>
        <v>280</v>
      </c>
      <c r="EO75" s="81">
        <f t="shared" si="127"/>
        <v>280</v>
      </c>
      <c r="EP75" s="81">
        <f t="shared" si="127"/>
        <v>280</v>
      </c>
      <c r="EQ75" s="81">
        <f t="shared" si="127"/>
        <v>280</v>
      </c>
      <c r="ER75" s="81">
        <f t="shared" si="127"/>
        <v>280</v>
      </c>
      <c r="ES75" s="81">
        <f t="shared" si="127"/>
        <v>280</v>
      </c>
      <c r="ET75" s="81">
        <f t="shared" si="127"/>
        <v>280</v>
      </c>
      <c r="EU75" s="81">
        <f t="shared" si="127"/>
        <v>280</v>
      </c>
      <c r="EV75" s="81">
        <f t="shared" si="127"/>
        <v>280</v>
      </c>
      <c r="EW75" s="81">
        <f t="shared" si="127"/>
        <v>280</v>
      </c>
      <c r="EX75" s="81">
        <f t="shared" si="127"/>
        <v>280</v>
      </c>
      <c r="EY75" s="81">
        <f t="shared" si="127"/>
        <v>280</v>
      </c>
      <c r="EZ75" s="81">
        <f t="shared" si="127"/>
        <v>280</v>
      </c>
      <c r="FA75" s="81">
        <f t="shared" si="127"/>
        <v>280</v>
      </c>
      <c r="FB75" s="81">
        <f t="shared" si="127"/>
        <v>280</v>
      </c>
      <c r="FC75" s="81">
        <f t="shared" si="127"/>
        <v>280</v>
      </c>
      <c r="FD75" s="81">
        <f t="shared" si="127"/>
        <v>280</v>
      </c>
      <c r="FE75" s="81">
        <f t="shared" si="127"/>
        <v>280</v>
      </c>
      <c r="FF75" s="81">
        <f t="shared" si="127"/>
        <v>280</v>
      </c>
      <c r="FG75" s="81">
        <f t="shared" si="127"/>
        <v>0</v>
      </c>
      <c r="FH75" s="81">
        <f t="shared" si="127"/>
        <v>0</v>
      </c>
      <c r="FI75" s="81">
        <f t="shared" si="127"/>
        <v>0</v>
      </c>
      <c r="FJ75" s="81">
        <f t="shared" si="127"/>
        <v>0</v>
      </c>
      <c r="FK75" s="81">
        <f t="shared" si="127"/>
        <v>0</v>
      </c>
      <c r="FL75" s="81">
        <f t="shared" si="127"/>
        <v>0</v>
      </c>
      <c r="FM75" s="81">
        <f t="shared" si="127"/>
        <v>0</v>
      </c>
      <c r="FN75" s="81">
        <f t="shared" si="127"/>
        <v>0</v>
      </c>
      <c r="FO75" s="81">
        <f t="shared" si="127"/>
        <v>0</v>
      </c>
      <c r="FP75" s="81">
        <f t="shared" si="127"/>
        <v>0</v>
      </c>
      <c r="FQ75" s="81">
        <f t="shared" si="127"/>
        <v>0</v>
      </c>
      <c r="FR75" s="81">
        <f t="shared" si="127"/>
        <v>0</v>
      </c>
      <c r="FS75" s="81">
        <f t="shared" si="127"/>
        <v>60</v>
      </c>
      <c r="FT75" s="81">
        <f t="shared" si="127"/>
        <v>60</v>
      </c>
      <c r="FU75" s="81">
        <f t="shared" si="127"/>
        <v>60</v>
      </c>
      <c r="FV75" s="81">
        <f t="shared" si="127"/>
        <v>60</v>
      </c>
      <c r="FW75" s="81">
        <f t="shared" si="127"/>
        <v>60</v>
      </c>
      <c r="FX75" s="81">
        <f t="shared" si="127"/>
        <v>60</v>
      </c>
      <c r="FY75" s="81">
        <f t="shared" si="127"/>
        <v>60</v>
      </c>
      <c r="FZ75" s="81">
        <f t="shared" si="127"/>
        <v>60</v>
      </c>
      <c r="GA75" s="81">
        <f t="shared" si="127"/>
        <v>60</v>
      </c>
      <c r="GB75" s="81">
        <f t="shared" si="127"/>
        <v>60</v>
      </c>
      <c r="GC75" s="81">
        <f t="shared" si="127"/>
        <v>60</v>
      </c>
      <c r="GD75" s="81">
        <f t="shared" si="127"/>
        <v>60</v>
      </c>
      <c r="GE75" s="81">
        <f t="shared" si="127"/>
        <v>60</v>
      </c>
      <c r="GF75" s="81">
        <f t="shared" si="127"/>
        <v>60</v>
      </c>
      <c r="GG75" s="81">
        <f t="shared" si="127"/>
        <v>60</v>
      </c>
      <c r="GH75" s="81">
        <f t="shared" si="127"/>
        <v>60</v>
      </c>
      <c r="GI75" s="81">
        <f t="shared" si="127"/>
        <v>60</v>
      </c>
      <c r="GJ75" s="81">
        <f t="shared" si="127"/>
        <v>60</v>
      </c>
      <c r="GK75" s="81">
        <f t="shared" si="127"/>
        <v>60</v>
      </c>
      <c r="GL75" s="81">
        <f t="shared" si="127"/>
        <v>60</v>
      </c>
      <c r="GM75" s="81">
        <f t="shared" si="127"/>
        <v>60</v>
      </c>
      <c r="GN75" s="81">
        <f t="shared" si="127"/>
        <v>60</v>
      </c>
      <c r="GO75" s="81">
        <f t="shared" ref="GO75:IZ75" si="128">SUM(GO63:GO74)</f>
        <v>60</v>
      </c>
      <c r="GP75" s="81">
        <f t="shared" si="128"/>
        <v>60</v>
      </c>
      <c r="GQ75" s="81">
        <f t="shared" si="128"/>
        <v>60</v>
      </c>
      <c r="GR75" s="81">
        <f t="shared" si="128"/>
        <v>60</v>
      </c>
      <c r="GS75" s="81">
        <f t="shared" si="128"/>
        <v>60</v>
      </c>
      <c r="GT75" s="81">
        <f t="shared" si="128"/>
        <v>60</v>
      </c>
      <c r="GU75" s="81">
        <f t="shared" si="128"/>
        <v>60</v>
      </c>
      <c r="GV75" s="81">
        <f t="shared" si="128"/>
        <v>60</v>
      </c>
      <c r="GW75" s="81">
        <f t="shared" si="128"/>
        <v>60</v>
      </c>
      <c r="GX75" s="81">
        <f t="shared" si="128"/>
        <v>0</v>
      </c>
      <c r="GY75" s="81">
        <f t="shared" si="128"/>
        <v>0</v>
      </c>
      <c r="GZ75" s="81">
        <f t="shared" si="128"/>
        <v>0</v>
      </c>
      <c r="HA75" s="81">
        <f t="shared" si="128"/>
        <v>0</v>
      </c>
      <c r="HB75" s="81">
        <f t="shared" si="128"/>
        <v>0</v>
      </c>
      <c r="HC75" s="81">
        <f t="shared" si="128"/>
        <v>0</v>
      </c>
      <c r="HD75" s="81">
        <f t="shared" si="128"/>
        <v>0</v>
      </c>
      <c r="HE75" s="81">
        <f t="shared" si="128"/>
        <v>0</v>
      </c>
      <c r="HF75" s="81">
        <f t="shared" si="128"/>
        <v>0</v>
      </c>
      <c r="HG75" s="81">
        <f t="shared" si="128"/>
        <v>0</v>
      </c>
      <c r="HH75" s="81">
        <f t="shared" si="128"/>
        <v>0</v>
      </c>
    </row>
  </sheetData>
  <mergeCells count="9">
    <mergeCell ref="CS2:HH2"/>
    <mergeCell ref="GE3:HH3"/>
    <mergeCell ref="BN3:CR3"/>
    <mergeCell ref="E2:CR2"/>
    <mergeCell ref="AJ3:BM3"/>
    <mergeCell ref="CS3:DW3"/>
    <mergeCell ref="DX3:EY3"/>
    <mergeCell ref="EZ3:GD3"/>
    <mergeCell ref="E3:AI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/>
  </sheetPr>
  <dimension ref="A1:Q59"/>
  <sheetViews>
    <sheetView showGridLines="0" zoomScaleNormal="100" workbookViewId="0">
      <pane ySplit="3" topLeftCell="A5" activePane="bottomLeft" state="frozen"/>
      <selection activeCell="A24" sqref="A24"/>
      <selection pane="bottomLeft"/>
    </sheetView>
  </sheetViews>
  <sheetFormatPr baseColWidth="10" defaultColWidth="8.6640625" defaultRowHeight="15" x14ac:dyDescent="0.2"/>
  <cols>
    <col min="1" max="1" width="32" customWidth="1"/>
    <col min="2" max="3" width="14" customWidth="1"/>
    <col min="4" max="4" width="12" customWidth="1"/>
    <col min="5" max="5" width="10" customWidth="1"/>
    <col min="6" max="6" width="16" customWidth="1"/>
    <col min="7" max="7" width="14" customWidth="1"/>
    <col min="8" max="15" width="13" customWidth="1"/>
    <col min="16" max="17" width="9.1640625" bestFit="1" customWidth="1"/>
  </cols>
  <sheetData>
    <row r="1" spans="1:17" ht="24" customHeight="1" x14ac:dyDescent="0.2">
      <c r="A1" s="35" t="s">
        <v>256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7" ht="15" customHeight="1" x14ac:dyDescent="0.2">
      <c r="A2" s="3" t="s">
        <v>257</v>
      </c>
    </row>
    <row r="3" spans="1:17" ht="30" customHeight="1" x14ac:dyDescent="0.2">
      <c r="A3" s="45" t="s">
        <v>258</v>
      </c>
      <c r="B3" s="45" t="s">
        <v>259</v>
      </c>
      <c r="C3" s="45" t="s">
        <v>260</v>
      </c>
      <c r="D3" s="45" t="s">
        <v>261</v>
      </c>
      <c r="E3" s="45" t="s">
        <v>262</v>
      </c>
      <c r="F3" s="45" t="s">
        <v>263</v>
      </c>
      <c r="G3" s="45" t="s">
        <v>264</v>
      </c>
      <c r="H3" s="45" t="s">
        <v>133</v>
      </c>
      <c r="I3" s="45" t="s">
        <v>134</v>
      </c>
      <c r="J3" s="45" t="s">
        <v>135</v>
      </c>
      <c r="K3" s="45" t="s">
        <v>136</v>
      </c>
      <c r="L3" s="45" t="s">
        <v>137</v>
      </c>
      <c r="M3" s="45" t="s">
        <v>138</v>
      </c>
      <c r="N3" s="45" t="s">
        <v>139</v>
      </c>
      <c r="O3" s="45" t="s">
        <v>140</v>
      </c>
    </row>
    <row r="4" spans="1:17" ht="17" hidden="1" customHeight="1" x14ac:dyDescent="0.2">
      <c r="A4" s="58"/>
      <c r="B4" s="58"/>
      <c r="C4" s="58"/>
      <c r="D4" s="58"/>
      <c r="E4" s="58"/>
      <c r="F4" s="58"/>
      <c r="G4" s="58"/>
      <c r="H4" s="59">
        <v>1</v>
      </c>
      <c r="I4" s="59">
        <v>2</v>
      </c>
      <c r="J4" s="59">
        <v>3</v>
      </c>
      <c r="K4" s="59">
        <v>4</v>
      </c>
      <c r="L4" s="59">
        <v>5</v>
      </c>
      <c r="M4" s="59">
        <v>6</v>
      </c>
      <c r="N4" s="59">
        <v>7</v>
      </c>
      <c r="O4" s="59">
        <v>8</v>
      </c>
    </row>
    <row r="5" spans="1:17" ht="15" customHeight="1" x14ac:dyDescent="0.2">
      <c r="A5" s="2" t="s">
        <v>265</v>
      </c>
      <c r="B5" s="21">
        <f t="array" ref="B5:B12">TRANSPOSE('CapEx &amp; Storage'!E18:L18)</f>
        <v>6658100</v>
      </c>
      <c r="C5" s="22">
        <f>Assumptions!$B$4</f>
        <v>2026</v>
      </c>
      <c r="D5" s="22">
        <f>Assumptions!$B$26</f>
        <v>8</v>
      </c>
      <c r="E5" s="23">
        <f>Assumptions!$B$27</f>
        <v>0.2</v>
      </c>
      <c r="F5" s="6">
        <f t="shared" ref="F5:F44" si="0">B5*(1-E5)</f>
        <v>5326480</v>
      </c>
      <c r="G5" s="6">
        <f t="shared" ref="G5:G44" si="1">F5/D5</f>
        <v>665810</v>
      </c>
      <c r="H5" s="6">
        <f>IF(AND(($C5-Assumptions!$B$4+1)&lt;=H$4,H$4&lt;=($C5-Assumptions!$B$4+$D5)),$G5,0)</f>
        <v>665810</v>
      </c>
      <c r="I5" s="6">
        <f>IF(AND(($C5-Assumptions!$B$4+1)&lt;=I$4,I$4&lt;=($C5-Assumptions!$B$4+$D5)),$G5,0)</f>
        <v>665810</v>
      </c>
      <c r="J5" s="6">
        <f>IF(AND(($C5-Assumptions!$B$4+1)&lt;=J$4,J$4&lt;=($C5-Assumptions!$B$4+$D5)),$G5,0)</f>
        <v>665810</v>
      </c>
      <c r="K5" s="6">
        <f>IF(AND(($C5-Assumptions!$B$4+1)&lt;=K$4,K$4&lt;=($C5-Assumptions!$B$4+$D5)),$G5,0)</f>
        <v>665810</v>
      </c>
      <c r="L5" s="6">
        <f>IF(AND(($C5-Assumptions!$B$4+1)&lt;=L$4,L$4&lt;=($C5-Assumptions!$B$4+$D5)),$G5,0)</f>
        <v>665810</v>
      </c>
      <c r="M5" s="6">
        <f>IF(AND(($C5-Assumptions!$B$4+1)&lt;=M$4,M$4&lt;=($C5-Assumptions!$B$4+$D5)),$G5,0)</f>
        <v>665810</v>
      </c>
      <c r="N5" s="6">
        <f>IF(AND(($C5-Assumptions!$B$4+1)&lt;=N$4,N$4&lt;=($C5-Assumptions!$B$4+$D5)),$G5,0)</f>
        <v>665810</v>
      </c>
      <c r="O5" s="6">
        <f>IF(AND(($C5-Assumptions!$B$4+1)&lt;=O$4,O$4&lt;=($C5-Assumptions!$B$4+$D5)),$G5,0)</f>
        <v>665810</v>
      </c>
      <c r="Q5" s="29"/>
    </row>
    <row r="6" spans="1:17" ht="15" customHeight="1" x14ac:dyDescent="0.2">
      <c r="A6" s="2" t="s">
        <v>266</v>
      </c>
      <c r="B6" s="21">
        <v>764286</v>
      </c>
      <c r="C6" s="22">
        <f t="shared" ref="C6:C12" si="2">C5+1</f>
        <v>2027</v>
      </c>
      <c r="D6" s="22">
        <f>Assumptions!$B$26</f>
        <v>8</v>
      </c>
      <c r="E6" s="23">
        <f>Assumptions!$B$27</f>
        <v>0.2</v>
      </c>
      <c r="F6" s="6">
        <f t="shared" si="0"/>
        <v>611428.80000000005</v>
      </c>
      <c r="G6" s="6">
        <f t="shared" si="1"/>
        <v>76428.600000000006</v>
      </c>
      <c r="H6" s="6">
        <f>IF(AND(($C6-Assumptions!$B$4+1)&lt;=H$4,H$4&lt;=($C6-Assumptions!$B$4+$D6)),$G6,0)</f>
        <v>0</v>
      </c>
      <c r="I6" s="6">
        <f>IF(AND(($C6-Assumptions!$B$4+1)&lt;=I$4,I$4&lt;=($C6-Assumptions!$B$4+$D6)),$G6,0)</f>
        <v>76428.600000000006</v>
      </c>
      <c r="J6" s="6">
        <f>IF(AND(($C6-Assumptions!$B$4+1)&lt;=J$4,J$4&lt;=($C6-Assumptions!$B$4+$D6)),$G6,0)</f>
        <v>76428.600000000006</v>
      </c>
      <c r="K6" s="6">
        <f>IF(AND(($C6-Assumptions!$B$4+1)&lt;=K$4,K$4&lt;=($C6-Assumptions!$B$4+$D6)),$G6,0)</f>
        <v>76428.600000000006</v>
      </c>
      <c r="L6" s="6">
        <f>IF(AND(($C6-Assumptions!$B$4+1)&lt;=L$4,L$4&lt;=($C6-Assumptions!$B$4+$D6)),$G6,0)</f>
        <v>76428.600000000006</v>
      </c>
      <c r="M6" s="6">
        <f>IF(AND(($C6-Assumptions!$B$4+1)&lt;=M$4,M$4&lt;=($C6-Assumptions!$B$4+$D6)),$G6,0)</f>
        <v>76428.600000000006</v>
      </c>
      <c r="N6" s="6">
        <f>IF(AND(($C6-Assumptions!$B$4+1)&lt;=N$4,N$4&lt;=($C6-Assumptions!$B$4+$D6)),$G6,0)</f>
        <v>76428.600000000006</v>
      </c>
      <c r="O6" s="6">
        <f>IF(AND(($C6-Assumptions!$B$4+1)&lt;=O$4,O$4&lt;=($C6-Assumptions!$B$4+$D6)),$G6,0)</f>
        <v>76428.600000000006</v>
      </c>
      <c r="Q6" s="29"/>
    </row>
    <row r="7" spans="1:17" ht="15" customHeight="1" x14ac:dyDescent="0.2">
      <c r="A7" s="2" t="s">
        <v>267</v>
      </c>
      <c r="B7" s="21">
        <v>708928.56</v>
      </c>
      <c r="C7" s="22">
        <f t="shared" si="2"/>
        <v>2028</v>
      </c>
      <c r="D7" s="22">
        <f>Assumptions!$B$26</f>
        <v>8</v>
      </c>
      <c r="E7" s="23">
        <f>Assumptions!$B$27</f>
        <v>0.2</v>
      </c>
      <c r="F7" s="6">
        <f t="shared" si="0"/>
        <v>567142.84800000011</v>
      </c>
      <c r="G7" s="6">
        <f t="shared" si="1"/>
        <v>70892.856000000014</v>
      </c>
      <c r="H7" s="6">
        <f>IF(AND(($C7-Assumptions!$B$4+1)&lt;=H$4,H$4&lt;=($C7-Assumptions!$B$4+$D7)),$G7,0)</f>
        <v>0</v>
      </c>
      <c r="I7" s="6">
        <f>IF(AND(($C7-Assumptions!$B$4+1)&lt;=I$4,I$4&lt;=($C7-Assumptions!$B$4+$D7)),$G7,0)</f>
        <v>0</v>
      </c>
      <c r="J7" s="6">
        <f>IF(AND(($C7-Assumptions!$B$4+1)&lt;=J$4,J$4&lt;=($C7-Assumptions!$B$4+$D7)),$G7,0)</f>
        <v>70892.856000000014</v>
      </c>
      <c r="K7" s="6">
        <f>IF(AND(($C7-Assumptions!$B$4+1)&lt;=K$4,K$4&lt;=($C7-Assumptions!$B$4+$D7)),$G7,0)</f>
        <v>70892.856000000014</v>
      </c>
      <c r="L7" s="6">
        <f>IF(AND(($C7-Assumptions!$B$4+1)&lt;=L$4,L$4&lt;=($C7-Assumptions!$B$4+$D7)),$G7,0)</f>
        <v>70892.856000000014</v>
      </c>
      <c r="M7" s="6">
        <f>IF(AND(($C7-Assumptions!$B$4+1)&lt;=M$4,M$4&lt;=($C7-Assumptions!$B$4+$D7)),$G7,0)</f>
        <v>70892.856000000014</v>
      </c>
      <c r="N7" s="6">
        <f>IF(AND(($C7-Assumptions!$B$4+1)&lt;=N$4,N$4&lt;=($C7-Assumptions!$B$4+$D7)),$G7,0)</f>
        <v>70892.856000000014</v>
      </c>
      <c r="O7" s="6">
        <f>IF(AND(($C7-Assumptions!$B$4+1)&lt;=O$4,O$4&lt;=($C7-Assumptions!$B$4+$D7)),$G7,0)</f>
        <v>70892.856000000014</v>
      </c>
      <c r="Q7" s="29"/>
    </row>
    <row r="8" spans="1:17" ht="15" customHeight="1" x14ac:dyDescent="0.2">
      <c r="A8" s="2" t="s">
        <v>268</v>
      </c>
      <c r="B8" s="21">
        <v>884516.8679999999</v>
      </c>
      <c r="C8" s="22">
        <f t="shared" si="2"/>
        <v>2029</v>
      </c>
      <c r="D8" s="22">
        <f>Assumptions!$B$26</f>
        <v>8</v>
      </c>
      <c r="E8" s="23">
        <f>Assumptions!$B$27</f>
        <v>0.2</v>
      </c>
      <c r="F8" s="6">
        <f t="shared" si="0"/>
        <v>707613.49439999997</v>
      </c>
      <c r="G8" s="6">
        <f t="shared" si="1"/>
        <v>88451.686799999996</v>
      </c>
      <c r="H8" s="6">
        <f>IF(AND(($C8-Assumptions!$B$4+1)&lt;=H$4,H$4&lt;=($C8-Assumptions!$B$4+$D8)),$G8,0)</f>
        <v>0</v>
      </c>
      <c r="I8" s="6">
        <f>IF(AND(($C8-Assumptions!$B$4+1)&lt;=I$4,I$4&lt;=($C8-Assumptions!$B$4+$D8)),$G8,0)</f>
        <v>0</v>
      </c>
      <c r="J8" s="6">
        <f>IF(AND(($C8-Assumptions!$B$4+1)&lt;=J$4,J$4&lt;=($C8-Assumptions!$B$4+$D8)),$G8,0)</f>
        <v>0</v>
      </c>
      <c r="K8" s="6">
        <f>IF(AND(($C8-Assumptions!$B$4+1)&lt;=K$4,K$4&lt;=($C8-Assumptions!$B$4+$D8)),$G8,0)</f>
        <v>88451.686799999996</v>
      </c>
      <c r="L8" s="6">
        <f>IF(AND(($C8-Assumptions!$B$4+1)&lt;=L$4,L$4&lt;=($C8-Assumptions!$B$4+$D8)),$G8,0)</f>
        <v>88451.686799999996</v>
      </c>
      <c r="M8" s="6">
        <f>IF(AND(($C8-Assumptions!$B$4+1)&lt;=M$4,M$4&lt;=($C8-Assumptions!$B$4+$D8)),$G8,0)</f>
        <v>88451.686799999996</v>
      </c>
      <c r="N8" s="6">
        <f>IF(AND(($C8-Assumptions!$B$4+1)&lt;=N$4,N$4&lt;=($C8-Assumptions!$B$4+$D8)),$G8,0)</f>
        <v>88451.686799999996</v>
      </c>
      <c r="O8" s="6">
        <f>IF(AND(($C8-Assumptions!$B$4+1)&lt;=O$4,O$4&lt;=($C8-Assumptions!$B$4+$D8)),$G8,0)</f>
        <v>88451.686799999996</v>
      </c>
    </row>
    <row r="9" spans="1:17" ht="15" customHeight="1" x14ac:dyDescent="0.2">
      <c r="A9" s="2" t="s">
        <v>269</v>
      </c>
      <c r="B9" s="21">
        <v>955787.59727999987</v>
      </c>
      <c r="C9" s="22">
        <f t="shared" si="2"/>
        <v>2030</v>
      </c>
      <c r="D9" s="22">
        <f>Assumptions!$B$26</f>
        <v>8</v>
      </c>
      <c r="E9" s="23">
        <f>Assumptions!$B$27</f>
        <v>0.2</v>
      </c>
      <c r="F9" s="6">
        <f t="shared" si="0"/>
        <v>764630.07782399992</v>
      </c>
      <c r="G9" s="6">
        <f t="shared" si="1"/>
        <v>95578.75972799999</v>
      </c>
      <c r="H9" s="6">
        <f>IF(AND(($C9-Assumptions!$B$4+1)&lt;=H$4,H$4&lt;=($C9-Assumptions!$B$4+$D9)),$G9,0)</f>
        <v>0</v>
      </c>
      <c r="I9" s="6">
        <f>IF(AND(($C9-Assumptions!$B$4+1)&lt;=I$4,I$4&lt;=($C9-Assumptions!$B$4+$D9)),$G9,0)</f>
        <v>0</v>
      </c>
      <c r="J9" s="6">
        <f>IF(AND(($C9-Assumptions!$B$4+1)&lt;=J$4,J$4&lt;=($C9-Assumptions!$B$4+$D9)),$G9,0)</f>
        <v>0</v>
      </c>
      <c r="K9" s="6">
        <f>IF(AND(($C9-Assumptions!$B$4+1)&lt;=K$4,K$4&lt;=($C9-Assumptions!$B$4+$D9)),$G9,0)</f>
        <v>0</v>
      </c>
      <c r="L9" s="6">
        <f>IF(AND(($C9-Assumptions!$B$4+1)&lt;=L$4,L$4&lt;=($C9-Assumptions!$B$4+$D9)),$G9,0)</f>
        <v>95578.75972799999</v>
      </c>
      <c r="M9" s="6">
        <f>IF(AND(($C9-Assumptions!$B$4+1)&lt;=M$4,M$4&lt;=($C9-Assumptions!$B$4+$D9)),$G9,0)</f>
        <v>95578.75972799999</v>
      </c>
      <c r="N9" s="6">
        <f>IF(AND(($C9-Assumptions!$B$4+1)&lt;=N$4,N$4&lt;=($C9-Assumptions!$B$4+$D9)),$G9,0)</f>
        <v>95578.75972799999</v>
      </c>
      <c r="O9" s="6">
        <f>IF(AND(($C9-Assumptions!$B$4+1)&lt;=O$4,O$4&lt;=($C9-Assumptions!$B$4+$D9)),$G9,0)</f>
        <v>95578.75972799999</v>
      </c>
    </row>
    <row r="10" spans="1:17" ht="15" customHeight="1" x14ac:dyDescent="0.2">
      <c r="A10" s="2" t="s">
        <v>270</v>
      </c>
      <c r="B10" s="21">
        <v>0</v>
      </c>
      <c r="C10" s="22">
        <f t="shared" si="2"/>
        <v>2031</v>
      </c>
      <c r="D10" s="22">
        <f>Assumptions!$B$26</f>
        <v>8</v>
      </c>
      <c r="E10" s="23">
        <f>Assumptions!$B$27</f>
        <v>0.2</v>
      </c>
      <c r="F10" s="6">
        <f t="shared" si="0"/>
        <v>0</v>
      </c>
      <c r="G10" s="6">
        <f t="shared" si="1"/>
        <v>0</v>
      </c>
      <c r="H10" s="6"/>
      <c r="I10" s="6"/>
      <c r="J10" s="6"/>
      <c r="K10" s="6"/>
      <c r="L10" s="6">
        <f>IF(AND(($C10-Assumptions!$B$4+1)&lt;=L$4,L$4&lt;=($C10-Assumptions!$B$4+$D10)),$G10,0)</f>
        <v>0</v>
      </c>
      <c r="M10" s="6">
        <f>IF(AND(($C10-Assumptions!$B$4+1)&lt;=M$4,M$4&lt;=($C10-Assumptions!$B$4+$D10)),$G10,0)</f>
        <v>0</v>
      </c>
      <c r="N10" s="6">
        <f>IF(AND(($C10-Assumptions!$B$4+1)&lt;=N$4,N$4&lt;=($C10-Assumptions!$B$4+$D10)),$G10,0)</f>
        <v>0</v>
      </c>
      <c r="O10" s="6">
        <f>IF(AND(($C10-Assumptions!$B$4+1)&lt;=O$4,O$4&lt;=($C10-Assumptions!$B$4+$D10)),$G10,0)</f>
        <v>0</v>
      </c>
    </row>
    <row r="11" spans="1:17" ht="15" customHeight="1" x14ac:dyDescent="0.2">
      <c r="A11" s="2" t="s">
        <v>271</v>
      </c>
      <c r="B11" s="21">
        <v>0</v>
      </c>
      <c r="C11" s="22">
        <f t="shared" si="2"/>
        <v>2032</v>
      </c>
      <c r="D11" s="22">
        <f>Assumptions!$B$26</f>
        <v>8</v>
      </c>
      <c r="E11" s="23">
        <f>Assumptions!$B$27</f>
        <v>0.2</v>
      </c>
      <c r="F11" s="6">
        <f t="shared" si="0"/>
        <v>0</v>
      </c>
      <c r="G11" s="6">
        <f t="shared" si="1"/>
        <v>0</v>
      </c>
      <c r="H11" s="6"/>
      <c r="I11" s="6"/>
      <c r="J11" s="6"/>
      <c r="K11" s="6"/>
      <c r="L11" s="6">
        <f>IF(AND(($C11-Assumptions!$B$4+1)&lt;=L$4,L$4&lt;=($C11-Assumptions!$B$4+$D11)),$G11,0)</f>
        <v>0</v>
      </c>
      <c r="M11" s="6">
        <f>IF(AND(($C11-Assumptions!$B$4+1)&lt;=M$4,M$4&lt;=($C11-Assumptions!$B$4+$D11)),$G11,0)</f>
        <v>0</v>
      </c>
      <c r="N11" s="6">
        <f>IF(AND(($C11-Assumptions!$B$4+1)&lt;=N$4,N$4&lt;=($C11-Assumptions!$B$4+$D11)),$G11,0)</f>
        <v>0</v>
      </c>
      <c r="O11" s="6">
        <f>IF(AND(($C11-Assumptions!$B$4+1)&lt;=O$4,O$4&lt;=($C11-Assumptions!$B$4+$D11)),$G11,0)</f>
        <v>0</v>
      </c>
    </row>
    <row r="12" spans="1:17" ht="15" customHeight="1" x14ac:dyDescent="0.2">
      <c r="A12" s="53" t="s">
        <v>272</v>
      </c>
      <c r="B12" s="54">
        <v>0</v>
      </c>
      <c r="C12" s="55">
        <f t="shared" si="2"/>
        <v>2033</v>
      </c>
      <c r="D12" s="55">
        <f>Assumptions!$B$26</f>
        <v>8</v>
      </c>
      <c r="E12" s="56">
        <f>Assumptions!$B$27</f>
        <v>0.2</v>
      </c>
      <c r="F12" s="57">
        <f t="shared" si="0"/>
        <v>0</v>
      </c>
      <c r="G12" s="57">
        <f t="shared" si="1"/>
        <v>0</v>
      </c>
      <c r="H12" s="57"/>
      <c r="I12" s="57"/>
      <c r="J12" s="57"/>
      <c r="K12" s="57"/>
      <c r="L12" s="57">
        <f>IF(AND(($C12-Assumptions!$B$4+1)&lt;=L$4,L$4&lt;=($C12-Assumptions!$B$4+$D12)),$G12,0)</f>
        <v>0</v>
      </c>
      <c r="M12" s="57">
        <f>IF(AND(($C12-Assumptions!$B$4+1)&lt;=M$4,M$4&lt;=($C12-Assumptions!$B$4+$D12)),$G12,0)</f>
        <v>0</v>
      </c>
      <c r="N12" s="57">
        <f>IF(AND(($C12-Assumptions!$B$4+1)&lt;=N$4,N$4&lt;=($C12-Assumptions!$B$4+$D12)),$G12,0)</f>
        <v>0</v>
      </c>
      <c r="O12" s="57">
        <f>IF(AND(($C12-Assumptions!$B$4+1)&lt;=O$4,O$4&lt;=($C12-Assumptions!$B$4+$D12)),$G12,0)</f>
        <v>0</v>
      </c>
    </row>
    <row r="13" spans="1:17" ht="15" customHeight="1" x14ac:dyDescent="0.2">
      <c r="A13" s="2" t="s">
        <v>273</v>
      </c>
      <c r="B13" s="21">
        <f t="array" ref="B13:B20">TRANSPOSE('CapEx &amp; Storage'!E19:L19)</f>
        <v>1040000</v>
      </c>
      <c r="C13" s="22">
        <f>Assumptions!$B$4</f>
        <v>2026</v>
      </c>
      <c r="D13" s="22">
        <f>Assumptions!$B$30</f>
        <v>10</v>
      </c>
      <c r="E13" s="23">
        <f>Assumptions!$B$31</f>
        <v>0.3</v>
      </c>
      <c r="F13" s="6">
        <f t="shared" si="0"/>
        <v>728000</v>
      </c>
      <c r="G13" s="6">
        <f t="shared" si="1"/>
        <v>72800</v>
      </c>
      <c r="H13" s="6">
        <f>IF(AND(($C13-Assumptions!$B$4+1)&lt;=H$4,H$4&lt;=($C13-Assumptions!$B$4+$D13)),$G13,0)</f>
        <v>72800</v>
      </c>
      <c r="I13" s="6">
        <f>IF(AND(($C13-Assumptions!$B$4+1)&lt;=I$4,I$4&lt;=($C13-Assumptions!$B$4+$D13)),$G13,0)</f>
        <v>72800</v>
      </c>
      <c r="J13" s="6">
        <f>IF(AND(($C13-Assumptions!$B$4+1)&lt;=J$4,J$4&lt;=($C13-Assumptions!$B$4+$D13)),$G13,0)</f>
        <v>72800</v>
      </c>
      <c r="K13" s="6">
        <f>IF(AND(($C13-Assumptions!$B$4+1)&lt;=K$4,K$4&lt;=($C13-Assumptions!$B$4+$D13)),$G13,0)</f>
        <v>72800</v>
      </c>
      <c r="L13" s="6">
        <f>IF(AND(($C13-Assumptions!$B$4+1)&lt;=L$4,L$4&lt;=($C13-Assumptions!$B$4+$D13)),$G13,0)</f>
        <v>72800</v>
      </c>
      <c r="M13" s="6">
        <f>IF(AND(($C13-Assumptions!$B$4+1)&lt;=M$4,M$4&lt;=($C13-Assumptions!$B$4+$D13)),$G13,0)</f>
        <v>72800</v>
      </c>
      <c r="N13" s="6">
        <f>IF(AND(($C13-Assumptions!$B$4+1)&lt;=N$4,N$4&lt;=($C13-Assumptions!$B$4+$D13)),$G13,0)</f>
        <v>72800</v>
      </c>
      <c r="O13" s="6">
        <f>IF(AND(($C13-Assumptions!$B$4+1)&lt;=O$4,O$4&lt;=($C13-Assumptions!$B$4+$D13)),$G13,0)</f>
        <v>72800</v>
      </c>
      <c r="P13" s="29"/>
    </row>
    <row r="14" spans="1:17" ht="15" customHeight="1" x14ac:dyDescent="0.2">
      <c r="A14" s="2" t="s">
        <v>274</v>
      </c>
      <c r="B14" s="21">
        <v>81600</v>
      </c>
      <c r="C14" s="22">
        <f t="shared" ref="C14:C20" si="3">C13+1</f>
        <v>2027</v>
      </c>
      <c r="D14" s="22">
        <f>Assumptions!$B$30</f>
        <v>10</v>
      </c>
      <c r="E14" s="23">
        <f>Assumptions!$B$31</f>
        <v>0.3</v>
      </c>
      <c r="F14" s="6">
        <f t="shared" si="0"/>
        <v>57120</v>
      </c>
      <c r="G14" s="6">
        <f t="shared" si="1"/>
        <v>5712</v>
      </c>
      <c r="H14" s="6">
        <f>IF(AND(($C14-Assumptions!$B$4+1)&lt;=H$4,H$4&lt;=($C14-Assumptions!$B$4+$D14)),$G14,0)</f>
        <v>0</v>
      </c>
      <c r="I14" s="6">
        <f>IF(AND(($C14-Assumptions!$B$4+1)&lt;=I$4,I$4&lt;=($C14-Assumptions!$B$4+$D14)),$G14,0)</f>
        <v>5712</v>
      </c>
      <c r="J14" s="6">
        <f>IF(AND(($C14-Assumptions!$B$4+1)&lt;=J$4,J$4&lt;=($C14-Assumptions!$B$4+$D14)),$G14,0)</f>
        <v>5712</v>
      </c>
      <c r="K14" s="6">
        <f>IF(AND(($C14-Assumptions!$B$4+1)&lt;=K$4,K$4&lt;=($C14-Assumptions!$B$4+$D14)),$G14,0)</f>
        <v>5712</v>
      </c>
      <c r="L14" s="6">
        <f>IF(AND(($C14-Assumptions!$B$4+1)&lt;=L$4,L$4&lt;=($C14-Assumptions!$B$4+$D14)),$G14,0)</f>
        <v>5712</v>
      </c>
      <c r="M14" s="6">
        <f>IF(AND(($C14-Assumptions!$B$4+1)&lt;=M$4,M$4&lt;=($C14-Assumptions!$B$4+$D14)),$G14,0)</f>
        <v>5712</v>
      </c>
      <c r="N14" s="6">
        <f>IF(AND(($C14-Assumptions!$B$4+1)&lt;=N$4,N$4&lt;=($C14-Assumptions!$B$4+$D14)),$G14,0)</f>
        <v>5712</v>
      </c>
      <c r="O14" s="6">
        <f>IF(AND(($C14-Assumptions!$B$4+1)&lt;=O$4,O$4&lt;=($C14-Assumptions!$B$4+$D14)),$G14,0)</f>
        <v>5712</v>
      </c>
      <c r="P14" s="29"/>
    </row>
    <row r="15" spans="1:17" ht="15" customHeight="1" x14ac:dyDescent="0.2">
      <c r="A15" s="2" t="s">
        <v>275</v>
      </c>
      <c r="B15" s="21">
        <v>83232</v>
      </c>
      <c r="C15" s="22">
        <f t="shared" si="3"/>
        <v>2028</v>
      </c>
      <c r="D15" s="22">
        <f>Assumptions!$B$30</f>
        <v>10</v>
      </c>
      <c r="E15" s="23">
        <f>Assumptions!$B$31</f>
        <v>0.3</v>
      </c>
      <c r="F15" s="6">
        <f t="shared" si="0"/>
        <v>58262.399999999994</v>
      </c>
      <c r="G15" s="6">
        <f t="shared" si="1"/>
        <v>5826.24</v>
      </c>
      <c r="H15" s="6">
        <f>IF(AND(($C15-Assumptions!$B$4+1)&lt;=H$4,H$4&lt;=($C15-Assumptions!$B$4+$D15)),$G15,0)</f>
        <v>0</v>
      </c>
      <c r="I15" s="6">
        <f>IF(AND(($C15-Assumptions!$B$4+1)&lt;=I$4,I$4&lt;=($C15-Assumptions!$B$4+$D15)),$G15,0)</f>
        <v>0</v>
      </c>
      <c r="J15" s="6">
        <f>IF(AND(($C15-Assumptions!$B$4+1)&lt;=J$4,J$4&lt;=($C15-Assumptions!$B$4+$D15)),$G15,0)</f>
        <v>5826.24</v>
      </c>
      <c r="K15" s="6">
        <f>IF(AND(($C15-Assumptions!$B$4+1)&lt;=K$4,K$4&lt;=($C15-Assumptions!$B$4+$D15)),$G15,0)</f>
        <v>5826.24</v>
      </c>
      <c r="L15" s="6">
        <f>IF(AND(($C15-Assumptions!$B$4+1)&lt;=L$4,L$4&lt;=($C15-Assumptions!$B$4+$D15)),$G15,0)</f>
        <v>5826.24</v>
      </c>
      <c r="M15" s="6">
        <f>IF(AND(($C15-Assumptions!$B$4+1)&lt;=M$4,M$4&lt;=($C15-Assumptions!$B$4+$D15)),$G15,0)</f>
        <v>5826.24</v>
      </c>
      <c r="N15" s="6">
        <f>IF(AND(($C15-Assumptions!$B$4+1)&lt;=N$4,N$4&lt;=($C15-Assumptions!$B$4+$D15)),$G15,0)</f>
        <v>5826.24</v>
      </c>
      <c r="O15" s="6">
        <f>IF(AND(($C15-Assumptions!$B$4+1)&lt;=O$4,O$4&lt;=($C15-Assumptions!$B$4+$D15)),$G15,0)</f>
        <v>5826.24</v>
      </c>
      <c r="P15" s="29"/>
    </row>
    <row r="16" spans="1:17" ht="15" customHeight="1" x14ac:dyDescent="0.2">
      <c r="A16" s="2" t="s">
        <v>276</v>
      </c>
      <c r="B16" s="21">
        <v>169793.28</v>
      </c>
      <c r="C16" s="22">
        <f t="shared" si="3"/>
        <v>2029</v>
      </c>
      <c r="D16" s="22">
        <f>Assumptions!$B$30</f>
        <v>10</v>
      </c>
      <c r="E16" s="23">
        <f>Assumptions!$B$31</f>
        <v>0.3</v>
      </c>
      <c r="F16" s="6">
        <f t="shared" si="0"/>
        <v>118855.29599999999</v>
      </c>
      <c r="G16" s="6">
        <f t="shared" si="1"/>
        <v>11885.529599999998</v>
      </c>
      <c r="H16" s="6">
        <f>IF(AND(($C16-Assumptions!$B$4+1)&lt;=H$4,H$4&lt;=($C16-Assumptions!$B$4+$D16)),$G16,0)</f>
        <v>0</v>
      </c>
      <c r="I16" s="6">
        <f>IF(AND(($C16-Assumptions!$B$4+1)&lt;=I$4,I$4&lt;=($C16-Assumptions!$B$4+$D16)),$G16,0)</f>
        <v>0</v>
      </c>
      <c r="J16" s="6">
        <f>IF(AND(($C16-Assumptions!$B$4+1)&lt;=J$4,J$4&lt;=($C16-Assumptions!$B$4+$D16)),$G16,0)</f>
        <v>0</v>
      </c>
      <c r="K16" s="6">
        <f>IF(AND(($C16-Assumptions!$B$4+1)&lt;=K$4,K$4&lt;=($C16-Assumptions!$B$4+$D16)),$G16,0)</f>
        <v>11885.529599999998</v>
      </c>
      <c r="L16" s="6">
        <f>IF(AND(($C16-Assumptions!$B$4+1)&lt;=L$4,L$4&lt;=($C16-Assumptions!$B$4+$D16)),$G16,0)</f>
        <v>11885.529599999998</v>
      </c>
      <c r="M16" s="6">
        <f>IF(AND(($C16-Assumptions!$B$4+1)&lt;=M$4,M$4&lt;=($C16-Assumptions!$B$4+$D16)),$G16,0)</f>
        <v>11885.529599999998</v>
      </c>
      <c r="N16" s="6">
        <f>IF(AND(($C16-Assumptions!$B$4+1)&lt;=N$4,N$4&lt;=($C16-Assumptions!$B$4+$D16)),$G16,0)</f>
        <v>11885.529599999998</v>
      </c>
      <c r="O16" s="6">
        <f>IF(AND(($C16-Assumptions!$B$4+1)&lt;=O$4,O$4&lt;=($C16-Assumptions!$B$4+$D16)),$G16,0)</f>
        <v>11885.529599999998</v>
      </c>
      <c r="P16" s="29"/>
    </row>
    <row r="17" spans="1:16" ht="15" customHeight="1" x14ac:dyDescent="0.2">
      <c r="A17" s="2" t="s">
        <v>277</v>
      </c>
      <c r="B17" s="21">
        <v>0</v>
      </c>
      <c r="C17" s="22">
        <f t="shared" si="3"/>
        <v>2030</v>
      </c>
      <c r="D17" s="22">
        <f>Assumptions!$B$30</f>
        <v>10</v>
      </c>
      <c r="E17" s="23">
        <f>Assumptions!$B$31</f>
        <v>0.3</v>
      </c>
      <c r="F17" s="6">
        <f t="shared" si="0"/>
        <v>0</v>
      </c>
      <c r="G17" s="6">
        <f t="shared" si="1"/>
        <v>0</v>
      </c>
      <c r="H17" s="6">
        <f>IF(AND(($C17-Assumptions!$B$4+1)&lt;=H$4,H$4&lt;=($C17-Assumptions!$B$4+$D17)),$G17,0)</f>
        <v>0</v>
      </c>
      <c r="I17" s="6">
        <f>IF(AND(($C17-Assumptions!$B$4+1)&lt;=I$4,I$4&lt;=($C17-Assumptions!$B$4+$D17)),$G17,0)</f>
        <v>0</v>
      </c>
      <c r="J17" s="6">
        <f>IF(AND(($C17-Assumptions!$B$4+1)&lt;=J$4,J$4&lt;=($C17-Assumptions!$B$4+$D17)),$G17,0)</f>
        <v>0</v>
      </c>
      <c r="K17" s="6">
        <f>IF(AND(($C17-Assumptions!$B$4+1)&lt;=K$4,K$4&lt;=($C17-Assumptions!$B$4+$D17)),$G17,0)</f>
        <v>0</v>
      </c>
      <c r="L17" s="6">
        <f>IF(AND(($C17-Assumptions!$B$4+1)&lt;=L$4,L$4&lt;=($C17-Assumptions!$B$4+$D17)),$G17,0)</f>
        <v>0</v>
      </c>
      <c r="M17" s="6">
        <f>IF(AND(($C17-Assumptions!$B$4+1)&lt;=M$4,M$4&lt;=($C17-Assumptions!$B$4+$D17)),$G17,0)</f>
        <v>0</v>
      </c>
      <c r="N17" s="6">
        <f>IF(AND(($C17-Assumptions!$B$4+1)&lt;=N$4,N$4&lt;=($C17-Assumptions!$B$4+$D17)),$G17,0)</f>
        <v>0</v>
      </c>
      <c r="O17" s="6">
        <f>IF(AND(($C17-Assumptions!$B$4+1)&lt;=O$4,O$4&lt;=($C17-Assumptions!$B$4+$D17)),$G17,0)</f>
        <v>0</v>
      </c>
      <c r="P17" s="29"/>
    </row>
    <row r="18" spans="1:16" ht="15" customHeight="1" x14ac:dyDescent="0.2">
      <c r="A18" s="2" t="s">
        <v>278</v>
      </c>
      <c r="B18" s="21">
        <v>176652.92851200001</v>
      </c>
      <c r="C18" s="22">
        <f t="shared" si="3"/>
        <v>2031</v>
      </c>
      <c r="D18" s="22">
        <f>Assumptions!$B$30</f>
        <v>10</v>
      </c>
      <c r="E18" s="23">
        <f>Assumptions!$B$31</f>
        <v>0.3</v>
      </c>
      <c r="F18" s="6">
        <f t="shared" si="0"/>
        <v>123657.04995840001</v>
      </c>
      <c r="G18" s="6">
        <f t="shared" si="1"/>
        <v>12365.70499584</v>
      </c>
      <c r="H18" s="6"/>
      <c r="I18" s="6"/>
      <c r="J18" s="6"/>
      <c r="K18" s="6"/>
      <c r="L18" s="6">
        <f>IF(AND(($C18-Assumptions!$B$4+1)&lt;=L$4,L$4&lt;=($C18-Assumptions!$B$4+$D18)),$G18,0)</f>
        <v>0</v>
      </c>
      <c r="M18" s="6">
        <f>IF(AND(($C18-Assumptions!$B$4+1)&lt;=M$4,M$4&lt;=($C18-Assumptions!$B$4+$D18)),$G18,0)</f>
        <v>12365.70499584</v>
      </c>
      <c r="N18" s="6">
        <f>IF(AND(($C18-Assumptions!$B$4+1)&lt;=N$4,N$4&lt;=($C18-Assumptions!$B$4+$D18)),$G18,0)</f>
        <v>12365.70499584</v>
      </c>
      <c r="O18" s="6">
        <f>IF(AND(($C18-Assumptions!$B$4+1)&lt;=O$4,O$4&lt;=($C18-Assumptions!$B$4+$D18)),$G18,0)</f>
        <v>12365.70499584</v>
      </c>
      <c r="P18" s="29"/>
    </row>
    <row r="19" spans="1:16" ht="15" customHeight="1" x14ac:dyDescent="0.2">
      <c r="A19" s="2" t="s">
        <v>279</v>
      </c>
      <c r="B19" s="21">
        <v>180185.98708224</v>
      </c>
      <c r="C19" s="22">
        <f t="shared" si="3"/>
        <v>2032</v>
      </c>
      <c r="D19" s="22">
        <f>Assumptions!$B$30</f>
        <v>10</v>
      </c>
      <c r="E19" s="23">
        <f>Assumptions!$B$31</f>
        <v>0.3</v>
      </c>
      <c r="F19" s="6">
        <f t="shared" si="0"/>
        <v>126130.19095756799</v>
      </c>
      <c r="G19" s="6">
        <f t="shared" si="1"/>
        <v>12613.019095756799</v>
      </c>
      <c r="H19" s="6"/>
      <c r="I19" s="6"/>
      <c r="J19" s="6"/>
      <c r="K19" s="6"/>
      <c r="L19" s="6">
        <f>IF(AND(($C19-Assumptions!$B$4+1)&lt;=L$4,L$4&lt;=($C19-Assumptions!$B$4+$D19)),$G19,0)</f>
        <v>0</v>
      </c>
      <c r="M19" s="6">
        <f>IF(AND(($C19-Assumptions!$B$4+1)&lt;=M$4,M$4&lt;=($C19-Assumptions!$B$4+$D19)),$G19,0)</f>
        <v>0</v>
      </c>
      <c r="N19" s="6">
        <f>IF(AND(($C19-Assumptions!$B$4+1)&lt;=N$4,N$4&lt;=($C19-Assumptions!$B$4+$D19)),$G19,0)</f>
        <v>12613.019095756799</v>
      </c>
      <c r="O19" s="6">
        <f>IF(AND(($C19-Assumptions!$B$4+1)&lt;=O$4,O$4&lt;=($C19-Assumptions!$B$4+$D19)),$G19,0)</f>
        <v>12613.019095756799</v>
      </c>
      <c r="P19" s="29"/>
    </row>
    <row r="20" spans="1:16" ht="15" customHeight="1" x14ac:dyDescent="0.2">
      <c r="A20" s="53" t="s">
        <v>280</v>
      </c>
      <c r="B20" s="54">
        <v>183789.70682388477</v>
      </c>
      <c r="C20" s="55">
        <f t="shared" si="3"/>
        <v>2033</v>
      </c>
      <c r="D20" s="55">
        <f>Assumptions!$B$30</f>
        <v>10</v>
      </c>
      <c r="E20" s="56">
        <f>Assumptions!$B$31</f>
        <v>0.3</v>
      </c>
      <c r="F20" s="57">
        <f t="shared" si="0"/>
        <v>128652.79477671933</v>
      </c>
      <c r="G20" s="57">
        <f t="shared" si="1"/>
        <v>12865.279477671933</v>
      </c>
      <c r="H20" s="57"/>
      <c r="I20" s="57"/>
      <c r="J20" s="57"/>
      <c r="K20" s="57"/>
      <c r="L20" s="57">
        <f>IF(AND(($C20-Assumptions!$B$4+1)&lt;=L$4,L$4&lt;=($C20-Assumptions!$B$4+$D20)),$G20,0)</f>
        <v>0</v>
      </c>
      <c r="M20" s="57">
        <f>IF(AND(($C20-Assumptions!$B$4+1)&lt;=M$4,M$4&lt;=($C20-Assumptions!$B$4+$D20)),$G20,0)</f>
        <v>0</v>
      </c>
      <c r="N20" s="57">
        <f>IF(AND(($C20-Assumptions!$B$4+1)&lt;=N$4,N$4&lt;=($C20-Assumptions!$B$4+$D20)),$G20,0)</f>
        <v>0</v>
      </c>
      <c r="O20" s="57">
        <f>IF(AND(($C20-Assumptions!$B$4+1)&lt;=O$4,O$4&lt;=($C20-Assumptions!$B$4+$D20)),$G20,0)</f>
        <v>12865.279477671933</v>
      </c>
      <c r="P20" s="29"/>
    </row>
    <row r="21" spans="1:16" ht="15" customHeight="1" x14ac:dyDescent="0.2">
      <c r="A21" s="2" t="s">
        <v>281</v>
      </c>
      <c r="B21" s="21">
        <f t="array" ref="B21:B28">TRANSPOSE('CapEx &amp; Storage'!E20:L20)</f>
        <v>690000</v>
      </c>
      <c r="C21" s="22">
        <f>Assumptions!$B$4</f>
        <v>2026</v>
      </c>
      <c r="D21" s="22">
        <f>Assumptions!$B$35</f>
        <v>10</v>
      </c>
      <c r="E21" s="23">
        <f>Assumptions!$B$36</f>
        <v>0.4</v>
      </c>
      <c r="F21" s="6">
        <f t="shared" si="0"/>
        <v>414000</v>
      </c>
      <c r="G21" s="6">
        <f t="shared" si="1"/>
        <v>41400</v>
      </c>
      <c r="H21" s="6">
        <f>IF(AND(($C21-Assumptions!$B$4+1)&lt;=H$4,H$4&lt;=($C21-Assumptions!$B$4+$D21)),$G21,0)</f>
        <v>41400</v>
      </c>
      <c r="I21" s="6">
        <f>IF(AND(($C21-Assumptions!$B$4+1)&lt;=I$4,I$4&lt;=($C21-Assumptions!$B$4+$D21)),$G21,0)</f>
        <v>41400</v>
      </c>
      <c r="J21" s="6">
        <f>IF(AND(($C21-Assumptions!$B$4+1)&lt;=J$4,J$4&lt;=($C21-Assumptions!$B$4+$D21)),$G21,0)</f>
        <v>41400</v>
      </c>
      <c r="K21" s="6">
        <f>IF(AND(($C21-Assumptions!$B$4+1)&lt;=K$4,K$4&lt;=($C21-Assumptions!$B$4+$D21)),$G21,0)</f>
        <v>41400</v>
      </c>
      <c r="L21" s="6">
        <f>IF(AND(($C21-Assumptions!$B$4+1)&lt;=L$4,L$4&lt;=($C21-Assumptions!$B$4+$D21)),$G21,0)</f>
        <v>41400</v>
      </c>
      <c r="M21" s="6">
        <f>IF(AND(($C21-Assumptions!$B$4+1)&lt;=M$4,M$4&lt;=($C21-Assumptions!$B$4+$D21)),$G21,0)</f>
        <v>41400</v>
      </c>
      <c r="N21" s="6">
        <f>IF(AND(($C21-Assumptions!$B$4+1)&lt;=N$4,N$4&lt;=($C21-Assumptions!$B$4+$D21)),$G21,0)</f>
        <v>41400</v>
      </c>
      <c r="O21" s="6">
        <f>IF(AND(($C21-Assumptions!$B$4+1)&lt;=O$4,O$4&lt;=($C21-Assumptions!$B$4+$D21)),$G21,0)</f>
        <v>41400</v>
      </c>
    </row>
    <row r="22" spans="1:16" ht="15" customHeight="1" x14ac:dyDescent="0.2">
      <c r="A22" s="2" t="s">
        <v>282</v>
      </c>
      <c r="B22" s="21">
        <v>33048</v>
      </c>
      <c r="C22" s="22">
        <f t="shared" ref="C22:C28" si="4">C21+1</f>
        <v>2027</v>
      </c>
      <c r="D22" s="22">
        <f>Assumptions!$B$35</f>
        <v>10</v>
      </c>
      <c r="E22" s="23">
        <f>Assumptions!$B$36</f>
        <v>0.4</v>
      </c>
      <c r="F22" s="6">
        <f t="shared" si="0"/>
        <v>19828.8</v>
      </c>
      <c r="G22" s="6">
        <f t="shared" si="1"/>
        <v>1982.8799999999999</v>
      </c>
      <c r="H22" s="6">
        <f>IF(AND(($C22-Assumptions!$B$4+1)&lt;=H$4,H$4&lt;=($C22-Assumptions!$B$4+$D22)),$G22,0)</f>
        <v>0</v>
      </c>
      <c r="I22" s="6">
        <f>IF(AND(($C22-Assumptions!$B$4+1)&lt;=I$4,I$4&lt;=($C22-Assumptions!$B$4+$D22)),$G22,0)</f>
        <v>1982.8799999999999</v>
      </c>
      <c r="J22" s="6">
        <f>IF(AND(($C22-Assumptions!$B$4+1)&lt;=J$4,J$4&lt;=($C22-Assumptions!$B$4+$D22)),$G22,0)</f>
        <v>1982.8799999999999</v>
      </c>
      <c r="K22" s="6">
        <f>IF(AND(($C22-Assumptions!$B$4+1)&lt;=K$4,K$4&lt;=($C22-Assumptions!$B$4+$D22)),$G22,0)</f>
        <v>1982.8799999999999</v>
      </c>
      <c r="L22" s="6">
        <f>IF(AND(($C22-Assumptions!$B$4+1)&lt;=L$4,L$4&lt;=($C22-Assumptions!$B$4+$D22)),$G22,0)</f>
        <v>1982.8799999999999</v>
      </c>
      <c r="M22" s="6">
        <f>IF(AND(($C22-Assumptions!$B$4+1)&lt;=M$4,M$4&lt;=($C22-Assumptions!$B$4+$D22)),$G22,0)</f>
        <v>1982.8799999999999</v>
      </c>
      <c r="N22" s="6">
        <f>IF(AND(($C22-Assumptions!$B$4+1)&lt;=N$4,N$4&lt;=($C22-Assumptions!$B$4+$D22)),$G22,0)</f>
        <v>1982.8799999999999</v>
      </c>
      <c r="O22" s="6">
        <f>IF(AND(($C22-Assumptions!$B$4+1)&lt;=O$4,O$4&lt;=($C22-Assumptions!$B$4+$D22)),$G22,0)</f>
        <v>1982.8799999999999</v>
      </c>
    </row>
    <row r="23" spans="1:16" ht="15" customHeight="1" x14ac:dyDescent="0.2">
      <c r="A23" s="2" t="s">
        <v>283</v>
      </c>
      <c r="B23" s="21">
        <v>104872.31999999999</v>
      </c>
      <c r="C23" s="22">
        <f t="shared" si="4"/>
        <v>2028</v>
      </c>
      <c r="D23" s="22">
        <f>Assumptions!$B$35</f>
        <v>10</v>
      </c>
      <c r="E23" s="23">
        <f>Assumptions!$B$36</f>
        <v>0.4</v>
      </c>
      <c r="F23" s="6">
        <f t="shared" si="0"/>
        <v>62923.391999999993</v>
      </c>
      <c r="G23" s="6">
        <f t="shared" si="1"/>
        <v>6292.3391999999994</v>
      </c>
      <c r="H23" s="6">
        <f>IF(AND(($C23-Assumptions!$B$4+1)&lt;=H$4,H$4&lt;=($C23-Assumptions!$B$4+$D23)),$G23,0)</f>
        <v>0</v>
      </c>
      <c r="I23" s="6">
        <f>IF(AND(($C23-Assumptions!$B$4+1)&lt;=I$4,I$4&lt;=($C23-Assumptions!$B$4+$D23)),$G23,0)</f>
        <v>0</v>
      </c>
      <c r="J23" s="6">
        <f>IF(AND(($C23-Assumptions!$B$4+1)&lt;=J$4,J$4&lt;=($C23-Assumptions!$B$4+$D23)),$G23,0)</f>
        <v>6292.3391999999994</v>
      </c>
      <c r="K23" s="6">
        <f>IF(AND(($C23-Assumptions!$B$4+1)&lt;=K$4,K$4&lt;=($C23-Assumptions!$B$4+$D23)),$G23,0)</f>
        <v>6292.3391999999994</v>
      </c>
      <c r="L23" s="6">
        <f>IF(AND(($C23-Assumptions!$B$4+1)&lt;=L$4,L$4&lt;=($C23-Assumptions!$B$4+$D23)),$G23,0)</f>
        <v>6292.3391999999994</v>
      </c>
      <c r="M23" s="6">
        <f>IF(AND(($C23-Assumptions!$B$4+1)&lt;=M$4,M$4&lt;=($C23-Assumptions!$B$4+$D23)),$G23,0)</f>
        <v>6292.3391999999994</v>
      </c>
      <c r="N23" s="6">
        <f>IF(AND(($C23-Assumptions!$B$4+1)&lt;=N$4,N$4&lt;=($C23-Assumptions!$B$4+$D23)),$G23,0)</f>
        <v>6292.3391999999994</v>
      </c>
      <c r="O23" s="6">
        <f>IF(AND(($C23-Assumptions!$B$4+1)&lt;=O$4,O$4&lt;=($C23-Assumptions!$B$4+$D23)),$G23,0)</f>
        <v>6292.3391999999994</v>
      </c>
    </row>
    <row r="24" spans="1:16" ht="15" customHeight="1" x14ac:dyDescent="0.2">
      <c r="A24" s="2" t="s">
        <v>284</v>
      </c>
      <c r="B24" s="21">
        <v>65582.654399999999</v>
      </c>
      <c r="C24" s="22">
        <f t="shared" si="4"/>
        <v>2029</v>
      </c>
      <c r="D24" s="22">
        <f>Assumptions!$B$35</f>
        <v>10</v>
      </c>
      <c r="E24" s="23">
        <f>Assumptions!$B$36</f>
        <v>0.4</v>
      </c>
      <c r="F24" s="6">
        <f t="shared" si="0"/>
        <v>39349.592639999995</v>
      </c>
      <c r="G24" s="6">
        <f t="shared" si="1"/>
        <v>3934.9592639999996</v>
      </c>
      <c r="H24" s="6">
        <f>IF(AND(($C24-Assumptions!$B$4+1)&lt;=H$4,H$4&lt;=($C24-Assumptions!$B$4+$D24)),$G24,0)</f>
        <v>0</v>
      </c>
      <c r="I24" s="6">
        <f>IF(AND(($C24-Assumptions!$B$4+1)&lt;=I$4,I$4&lt;=($C24-Assumptions!$B$4+$D24)),$G24,0)</f>
        <v>0</v>
      </c>
      <c r="J24" s="6">
        <f>IF(AND(($C24-Assumptions!$B$4+1)&lt;=J$4,J$4&lt;=($C24-Assumptions!$B$4+$D24)),$G24,0)</f>
        <v>0</v>
      </c>
      <c r="K24" s="6">
        <f>IF(AND(($C24-Assumptions!$B$4+1)&lt;=K$4,K$4&lt;=($C24-Assumptions!$B$4+$D24)),$G24,0)</f>
        <v>3934.9592639999996</v>
      </c>
      <c r="L24" s="6">
        <f>IF(AND(($C24-Assumptions!$B$4+1)&lt;=L$4,L$4&lt;=($C24-Assumptions!$B$4+$D24)),$G24,0)</f>
        <v>3934.9592639999996</v>
      </c>
      <c r="M24" s="6">
        <f>IF(AND(($C24-Assumptions!$B$4+1)&lt;=M$4,M$4&lt;=($C24-Assumptions!$B$4+$D24)),$G24,0)</f>
        <v>3934.9592639999996</v>
      </c>
      <c r="N24" s="6">
        <f>IF(AND(($C24-Assumptions!$B$4+1)&lt;=N$4,N$4&lt;=($C24-Assumptions!$B$4+$D24)),$G24,0)</f>
        <v>3934.9592639999996</v>
      </c>
      <c r="O24" s="6">
        <f>IF(AND(($C24-Assumptions!$B$4+1)&lt;=O$4,O$4&lt;=($C24-Assumptions!$B$4+$D24)),$G24,0)</f>
        <v>3934.9592639999996</v>
      </c>
    </row>
    <row r="25" spans="1:16" ht="15" customHeight="1" x14ac:dyDescent="0.2">
      <c r="A25" s="2" t="s">
        <v>285</v>
      </c>
      <c r="B25" s="21">
        <v>46761.069312</v>
      </c>
      <c r="C25" s="22">
        <f t="shared" si="4"/>
        <v>2030</v>
      </c>
      <c r="D25" s="22">
        <f>Assumptions!$B$35</f>
        <v>10</v>
      </c>
      <c r="E25" s="23">
        <f>Assumptions!$B$36</f>
        <v>0.4</v>
      </c>
      <c r="F25" s="6">
        <f t="shared" si="0"/>
        <v>28056.6415872</v>
      </c>
      <c r="G25" s="6">
        <f t="shared" si="1"/>
        <v>2805.6641587200002</v>
      </c>
      <c r="H25" s="6">
        <f>IF(AND(($C25-Assumptions!$B$4+1)&lt;=H$4,H$4&lt;=($C25-Assumptions!$B$4+$D25)),$G25,0)</f>
        <v>0</v>
      </c>
      <c r="I25" s="6">
        <f>IF(AND(($C25-Assumptions!$B$4+1)&lt;=I$4,I$4&lt;=($C25-Assumptions!$B$4+$D25)),$G25,0)</f>
        <v>0</v>
      </c>
      <c r="J25" s="6">
        <f>IF(AND(($C25-Assumptions!$B$4+1)&lt;=J$4,J$4&lt;=($C25-Assumptions!$B$4+$D25)),$G25,0)</f>
        <v>0</v>
      </c>
      <c r="K25" s="6">
        <f>IF(AND(($C25-Assumptions!$B$4+1)&lt;=K$4,K$4&lt;=($C25-Assumptions!$B$4+$D25)),$G25,0)</f>
        <v>0</v>
      </c>
      <c r="L25" s="6">
        <f>IF(AND(($C25-Assumptions!$B$4+1)&lt;=L$4,L$4&lt;=($C25-Assumptions!$B$4+$D25)),$G25,0)</f>
        <v>2805.6641587200002</v>
      </c>
      <c r="M25" s="6">
        <f>IF(AND(($C25-Assumptions!$B$4+1)&lt;=M$4,M$4&lt;=($C25-Assumptions!$B$4+$D25)),$G25,0)</f>
        <v>2805.6641587200002</v>
      </c>
      <c r="N25" s="6">
        <f>IF(AND(($C25-Assumptions!$B$4+1)&lt;=N$4,N$4&lt;=($C25-Assumptions!$B$4+$D25)),$G25,0)</f>
        <v>2805.6641587200002</v>
      </c>
      <c r="O25" s="6">
        <f>IF(AND(($C25-Assumptions!$B$4+1)&lt;=O$4,O$4&lt;=($C25-Assumptions!$B$4+$D25)),$G25,0)</f>
        <v>2805.6641587200002</v>
      </c>
    </row>
    <row r="26" spans="1:16" ht="15" customHeight="1" x14ac:dyDescent="0.2">
      <c r="A26" s="2" t="s">
        <v>286</v>
      </c>
      <c r="B26" s="21">
        <v>153688.04780544</v>
      </c>
      <c r="C26" s="22">
        <f t="shared" si="4"/>
        <v>2031</v>
      </c>
      <c r="D26" s="22">
        <f>Assumptions!$B$35</f>
        <v>10</v>
      </c>
      <c r="E26" s="23">
        <f>Assumptions!$B$36</f>
        <v>0.4</v>
      </c>
      <c r="F26" s="6">
        <f t="shared" si="0"/>
        <v>92212.828683264001</v>
      </c>
      <c r="G26" s="6">
        <f t="shared" si="1"/>
        <v>9221.2828683263997</v>
      </c>
      <c r="H26" s="6"/>
      <c r="I26" s="6"/>
      <c r="J26" s="6"/>
      <c r="K26" s="6"/>
      <c r="L26" s="6">
        <f>IF(AND(($C26-Assumptions!$B$4+1)&lt;=L$4,L$4&lt;=($C26-Assumptions!$B$4+$D26)),$G26,0)</f>
        <v>0</v>
      </c>
      <c r="M26" s="6">
        <f>IF(AND(($C26-Assumptions!$B$4+1)&lt;=M$4,M$4&lt;=($C26-Assumptions!$B$4+$D26)),$G26,0)</f>
        <v>9221.2828683263997</v>
      </c>
      <c r="N26" s="6">
        <f>IF(AND(($C26-Assumptions!$B$4+1)&lt;=N$4,N$4&lt;=($C26-Assumptions!$B$4+$D26)),$G26,0)</f>
        <v>9221.2828683263997</v>
      </c>
      <c r="O26" s="6">
        <f>IF(AND(($C26-Assumptions!$B$4+1)&lt;=O$4,O$4&lt;=($C26-Assumptions!$B$4+$D26)),$G26,0)</f>
        <v>9221.2828683263997</v>
      </c>
    </row>
    <row r="27" spans="1:16" ht="15" customHeight="1" x14ac:dyDescent="0.2">
      <c r="A27" s="2" t="s">
        <v>287</v>
      </c>
      <c r="B27" s="21">
        <v>132436.70050544641</v>
      </c>
      <c r="C27" s="22">
        <f t="shared" si="4"/>
        <v>2032</v>
      </c>
      <c r="D27" s="22">
        <f>Assumptions!$B$35</f>
        <v>10</v>
      </c>
      <c r="E27" s="23">
        <f>Assumptions!$B$36</f>
        <v>0.4</v>
      </c>
      <c r="F27" s="6">
        <f t="shared" si="0"/>
        <v>79462.02030326784</v>
      </c>
      <c r="G27" s="6">
        <f t="shared" si="1"/>
        <v>7946.2020303267836</v>
      </c>
      <c r="H27" s="6"/>
      <c r="I27" s="6"/>
      <c r="J27" s="6"/>
      <c r="K27" s="6"/>
      <c r="L27" s="6">
        <f>IF(AND(($C27-Assumptions!$B$4+1)&lt;=L$4,L$4&lt;=($C27-Assumptions!$B$4+$D27)),$G27,0)</f>
        <v>0</v>
      </c>
      <c r="M27" s="6">
        <f>IF(AND(($C27-Assumptions!$B$4+1)&lt;=M$4,M$4&lt;=($C27-Assumptions!$B$4+$D27)),$G27,0)</f>
        <v>0</v>
      </c>
      <c r="N27" s="6">
        <f>IF(AND(($C27-Assumptions!$B$4+1)&lt;=N$4,N$4&lt;=($C27-Assumptions!$B$4+$D27)),$G27,0)</f>
        <v>7946.2020303267836</v>
      </c>
      <c r="O27" s="6">
        <f>IF(AND(($C27-Assumptions!$B$4+1)&lt;=O$4,O$4&lt;=($C27-Assumptions!$B$4+$D27)),$G27,0)</f>
        <v>7946.2020303267836</v>
      </c>
    </row>
    <row r="28" spans="1:16" ht="15" customHeight="1" x14ac:dyDescent="0.2">
      <c r="A28" s="53" t="s">
        <v>288</v>
      </c>
      <c r="B28" s="54">
        <v>108206.18989256216</v>
      </c>
      <c r="C28" s="55">
        <f t="shared" si="4"/>
        <v>2033</v>
      </c>
      <c r="D28" s="55">
        <f>Assumptions!$B$35</f>
        <v>10</v>
      </c>
      <c r="E28" s="56">
        <f>Assumptions!$B$36</f>
        <v>0.4</v>
      </c>
      <c r="F28" s="57">
        <f t="shared" si="0"/>
        <v>64923.713935537293</v>
      </c>
      <c r="G28" s="57">
        <f t="shared" si="1"/>
        <v>6492.3713935537289</v>
      </c>
      <c r="H28" s="57"/>
      <c r="I28" s="57"/>
      <c r="J28" s="57"/>
      <c r="K28" s="57"/>
      <c r="L28" s="57">
        <f>IF(AND(($C28-Assumptions!$B$4+1)&lt;=L$4,L$4&lt;=($C28-Assumptions!$B$4+$D28)),$G28,0)</f>
        <v>0</v>
      </c>
      <c r="M28" s="57">
        <f>IF(AND(($C28-Assumptions!$B$4+1)&lt;=M$4,M$4&lt;=($C28-Assumptions!$B$4+$D28)),$G28,0)</f>
        <v>0</v>
      </c>
      <c r="N28" s="57">
        <f>IF(AND(($C28-Assumptions!$B$4+1)&lt;=N$4,N$4&lt;=($C28-Assumptions!$B$4+$D28)),$G28,0)</f>
        <v>0</v>
      </c>
      <c r="O28" s="57">
        <f>IF(AND(($C28-Assumptions!$B$4+1)&lt;=O$4,O$4&lt;=($C28-Assumptions!$B$4+$D28)),$G28,0)</f>
        <v>6492.3713935537289</v>
      </c>
    </row>
    <row r="29" spans="1:16" ht="15" customHeight="1" x14ac:dyDescent="0.2">
      <c r="A29" s="2" t="s">
        <v>289</v>
      </c>
      <c r="B29" s="21">
        <f t="array" ref="B29:B36">TRANSPOSE('CapEx &amp; Storage'!E21:L21)</f>
        <v>1184000</v>
      </c>
      <c r="C29" s="22">
        <f>Assumptions!$B$4</f>
        <v>2026</v>
      </c>
      <c r="D29" s="22">
        <f>Assumptions!$B$35</f>
        <v>10</v>
      </c>
      <c r="E29" s="23">
        <f>Assumptions!$B$36</f>
        <v>0.4</v>
      </c>
      <c r="F29" s="6">
        <f t="shared" si="0"/>
        <v>710400</v>
      </c>
      <c r="G29" s="6">
        <f t="shared" si="1"/>
        <v>71040</v>
      </c>
      <c r="H29" s="6">
        <f>IF(AND(($C29-Assumptions!$B$4+1)&lt;=H$4,H$4&lt;=($C29-Assumptions!$B$4+$D29)),$G29,0)</f>
        <v>71040</v>
      </c>
      <c r="I29" s="6">
        <f>IF(AND(($C29-Assumptions!$B$4+1)&lt;=I$4,I$4&lt;=($C29-Assumptions!$B$4+$D29)),$G29,0)</f>
        <v>71040</v>
      </c>
      <c r="J29" s="6">
        <f>IF(AND(($C29-Assumptions!$B$4+1)&lt;=J$4,J$4&lt;=($C29-Assumptions!$B$4+$D29)),$G29,0)</f>
        <v>71040</v>
      </c>
      <c r="K29" s="6">
        <f>IF(AND(($C29-Assumptions!$B$4+1)&lt;=K$4,K$4&lt;=($C29-Assumptions!$B$4+$D29)),$G29,0)</f>
        <v>71040</v>
      </c>
      <c r="L29" s="6">
        <f>IF(AND(($C29-Assumptions!$B$4+1)&lt;=L$4,L$4&lt;=($C29-Assumptions!$B$4+$D29)),$G29,0)</f>
        <v>71040</v>
      </c>
      <c r="M29" s="6">
        <f>IF(AND(($C29-Assumptions!$B$4+1)&lt;=M$4,M$4&lt;=($C29-Assumptions!$B$4+$D29)),$G29,0)</f>
        <v>71040</v>
      </c>
      <c r="N29" s="6">
        <f>IF(AND(($C29-Assumptions!$B$4+1)&lt;=N$4,N$4&lt;=($C29-Assumptions!$B$4+$D29)),$G29,0)</f>
        <v>71040</v>
      </c>
      <c r="O29" s="6">
        <f>IF(AND(($C29-Assumptions!$B$4+1)&lt;=O$4,O$4&lt;=($C29-Assumptions!$B$4+$D29)),$G29,0)</f>
        <v>71040</v>
      </c>
    </row>
    <row r="30" spans="1:16" ht="15" customHeight="1" x14ac:dyDescent="0.2">
      <c r="A30" s="2" t="s">
        <v>290</v>
      </c>
      <c r="B30" s="21">
        <v>20400</v>
      </c>
      <c r="C30" s="22">
        <f t="shared" ref="C30:C36" si="5">C29+1</f>
        <v>2027</v>
      </c>
      <c r="D30" s="22">
        <f>Assumptions!$B$35</f>
        <v>10</v>
      </c>
      <c r="E30" s="23">
        <f>Assumptions!$B$36</f>
        <v>0.4</v>
      </c>
      <c r="F30" s="6">
        <f t="shared" si="0"/>
        <v>12240</v>
      </c>
      <c r="G30" s="6">
        <f t="shared" si="1"/>
        <v>1224</v>
      </c>
      <c r="H30" s="6">
        <f>IF(AND(($C30-Assumptions!$B$4+1)&lt;=H$4,H$4&lt;=($C30-Assumptions!$B$4+$D30)),$G30,0)</f>
        <v>0</v>
      </c>
      <c r="I30" s="6">
        <f>IF(AND(($C30-Assumptions!$B$4+1)&lt;=I$4,I$4&lt;=($C30-Assumptions!$B$4+$D30)),$G30,0)</f>
        <v>1224</v>
      </c>
      <c r="J30" s="6">
        <f>IF(AND(($C30-Assumptions!$B$4+1)&lt;=J$4,J$4&lt;=($C30-Assumptions!$B$4+$D30)),$G30,0)</f>
        <v>1224</v>
      </c>
      <c r="K30" s="6">
        <f>IF(AND(($C30-Assumptions!$B$4+1)&lt;=K$4,K$4&lt;=($C30-Assumptions!$B$4+$D30)),$G30,0)</f>
        <v>1224</v>
      </c>
      <c r="L30" s="6">
        <f>IF(AND(($C30-Assumptions!$B$4+1)&lt;=L$4,L$4&lt;=($C30-Assumptions!$B$4+$D30)),$G30,0)</f>
        <v>1224</v>
      </c>
      <c r="M30" s="6">
        <f>IF(AND(($C30-Assumptions!$B$4+1)&lt;=M$4,M$4&lt;=($C30-Assumptions!$B$4+$D30)),$G30,0)</f>
        <v>1224</v>
      </c>
      <c r="N30" s="6">
        <f>IF(AND(($C30-Assumptions!$B$4+1)&lt;=N$4,N$4&lt;=($C30-Assumptions!$B$4+$D30)),$G30,0)</f>
        <v>1224</v>
      </c>
      <c r="O30" s="6">
        <f>IF(AND(($C30-Assumptions!$B$4+1)&lt;=O$4,O$4&lt;=($C30-Assumptions!$B$4+$D30)),$G30,0)</f>
        <v>1224</v>
      </c>
    </row>
    <row r="31" spans="1:16" ht="15" customHeight="1" x14ac:dyDescent="0.2">
      <c r="A31" s="2" t="s">
        <v>291</v>
      </c>
      <c r="B31" s="21">
        <v>91555.199999999997</v>
      </c>
      <c r="C31" s="22">
        <f t="shared" si="5"/>
        <v>2028</v>
      </c>
      <c r="D31" s="22">
        <f>Assumptions!$B$35</f>
        <v>10</v>
      </c>
      <c r="E31" s="23">
        <f>Assumptions!$B$36</f>
        <v>0.4</v>
      </c>
      <c r="F31" s="6">
        <f t="shared" si="0"/>
        <v>54933.119999999995</v>
      </c>
      <c r="G31" s="6">
        <f t="shared" si="1"/>
        <v>5493.3119999999999</v>
      </c>
      <c r="H31" s="6">
        <f>IF(AND(($C31-Assumptions!$B$4+1)&lt;=H$4,H$4&lt;=($C31-Assumptions!$B$4+$D31)),$G31,0)</f>
        <v>0</v>
      </c>
      <c r="I31" s="6">
        <f>IF(AND(($C31-Assumptions!$B$4+1)&lt;=I$4,I$4&lt;=($C31-Assumptions!$B$4+$D31)),$G31,0)</f>
        <v>0</v>
      </c>
      <c r="J31" s="6">
        <f>IF(AND(($C31-Assumptions!$B$4+1)&lt;=J$4,J$4&lt;=($C31-Assumptions!$B$4+$D31)),$G31,0)</f>
        <v>5493.3119999999999</v>
      </c>
      <c r="K31" s="6">
        <f>IF(AND(($C31-Assumptions!$B$4+1)&lt;=K$4,K$4&lt;=($C31-Assumptions!$B$4+$D31)),$G31,0)</f>
        <v>5493.3119999999999</v>
      </c>
      <c r="L31" s="6">
        <f>IF(AND(($C31-Assumptions!$B$4+1)&lt;=L$4,L$4&lt;=($C31-Assumptions!$B$4+$D31)),$G31,0)</f>
        <v>5493.3119999999999</v>
      </c>
      <c r="M31" s="6">
        <f>IF(AND(($C31-Assumptions!$B$4+1)&lt;=M$4,M$4&lt;=($C31-Assumptions!$B$4+$D31)),$G31,0)</f>
        <v>5493.3119999999999</v>
      </c>
      <c r="N31" s="6">
        <f>IF(AND(($C31-Assumptions!$B$4+1)&lt;=N$4,N$4&lt;=($C31-Assumptions!$B$4+$D31)),$G31,0)</f>
        <v>5493.3119999999999</v>
      </c>
      <c r="O31" s="6">
        <f>IF(AND(($C31-Assumptions!$B$4+1)&lt;=O$4,O$4&lt;=($C31-Assumptions!$B$4+$D31)),$G31,0)</f>
        <v>5493.3119999999999</v>
      </c>
    </row>
    <row r="32" spans="1:16" ht="15" customHeight="1" x14ac:dyDescent="0.2">
      <c r="A32" s="2" t="s">
        <v>292</v>
      </c>
      <c r="B32" s="21">
        <v>89141.471999999994</v>
      </c>
      <c r="C32" s="22">
        <f t="shared" si="5"/>
        <v>2029</v>
      </c>
      <c r="D32" s="22">
        <f>Assumptions!$B$35</f>
        <v>10</v>
      </c>
      <c r="E32" s="23">
        <f>Assumptions!$B$36</f>
        <v>0.4</v>
      </c>
      <c r="F32" s="6">
        <f t="shared" si="0"/>
        <v>53484.883199999997</v>
      </c>
      <c r="G32" s="6">
        <f t="shared" si="1"/>
        <v>5348.4883199999995</v>
      </c>
      <c r="H32" s="6">
        <f>IF(AND(($C32-Assumptions!$B$4+1)&lt;=H$4,H$4&lt;=($C32-Assumptions!$B$4+$D32)),$G32,0)</f>
        <v>0</v>
      </c>
      <c r="I32" s="6">
        <f>IF(AND(($C32-Assumptions!$B$4+1)&lt;=I$4,I$4&lt;=($C32-Assumptions!$B$4+$D32)),$G32,0)</f>
        <v>0</v>
      </c>
      <c r="J32" s="6">
        <f>IF(AND(($C32-Assumptions!$B$4+1)&lt;=J$4,J$4&lt;=($C32-Assumptions!$B$4+$D32)),$G32,0)</f>
        <v>0</v>
      </c>
      <c r="K32" s="6">
        <f>IF(AND(($C32-Assumptions!$B$4+1)&lt;=K$4,K$4&lt;=($C32-Assumptions!$B$4+$D32)),$G32,0)</f>
        <v>5348.4883199999995</v>
      </c>
      <c r="L32" s="6">
        <f>IF(AND(($C32-Assumptions!$B$4+1)&lt;=L$4,L$4&lt;=($C32-Assumptions!$B$4+$D32)),$G32,0)</f>
        <v>5348.4883199999995</v>
      </c>
      <c r="M32" s="6">
        <f>IF(AND(($C32-Assumptions!$B$4+1)&lt;=M$4,M$4&lt;=($C32-Assumptions!$B$4+$D32)),$G32,0)</f>
        <v>5348.4883199999995</v>
      </c>
      <c r="N32" s="6">
        <f>IF(AND(($C32-Assumptions!$B$4+1)&lt;=N$4,N$4&lt;=($C32-Assumptions!$B$4+$D32)),$G32,0)</f>
        <v>5348.4883199999995</v>
      </c>
      <c r="O32" s="6">
        <f>IF(AND(($C32-Assumptions!$B$4+1)&lt;=O$4,O$4&lt;=($C32-Assumptions!$B$4+$D32)),$G32,0)</f>
        <v>5348.4883199999995</v>
      </c>
    </row>
    <row r="33" spans="1:15" ht="15" customHeight="1" x14ac:dyDescent="0.2">
      <c r="A33" s="2" t="s">
        <v>293</v>
      </c>
      <c r="B33" s="21">
        <v>64945.929599999996</v>
      </c>
      <c r="C33" s="22">
        <f t="shared" si="5"/>
        <v>2030</v>
      </c>
      <c r="D33" s="22">
        <f>Assumptions!$B$35</f>
        <v>10</v>
      </c>
      <c r="E33" s="23">
        <f>Assumptions!$B$36</f>
        <v>0.4</v>
      </c>
      <c r="F33" s="6">
        <f t="shared" si="0"/>
        <v>38967.557759999996</v>
      </c>
      <c r="G33" s="6">
        <f t="shared" si="1"/>
        <v>3896.7557759999995</v>
      </c>
      <c r="H33" s="6">
        <f>IF(AND(($C33-Assumptions!$B$4+1)&lt;=H$4,H$4&lt;=($C33-Assumptions!$B$4+$D33)),$G33,0)</f>
        <v>0</v>
      </c>
      <c r="I33" s="6">
        <f>IF(AND(($C33-Assumptions!$B$4+1)&lt;=I$4,I$4&lt;=($C33-Assumptions!$B$4+$D33)),$G33,0)</f>
        <v>0</v>
      </c>
      <c r="J33" s="6">
        <f>IF(AND(($C33-Assumptions!$B$4+1)&lt;=J$4,J$4&lt;=($C33-Assumptions!$B$4+$D33)),$G33,0)</f>
        <v>0</v>
      </c>
      <c r="K33" s="6">
        <f>IF(AND(($C33-Assumptions!$B$4+1)&lt;=K$4,K$4&lt;=($C33-Assumptions!$B$4+$D33)),$G33,0)</f>
        <v>0</v>
      </c>
      <c r="L33" s="6">
        <f>IF(AND(($C33-Assumptions!$B$4+1)&lt;=L$4,L$4&lt;=($C33-Assumptions!$B$4+$D33)),$G33,0)</f>
        <v>3896.7557759999995</v>
      </c>
      <c r="M33" s="6">
        <f>IF(AND(($C33-Assumptions!$B$4+1)&lt;=M$4,M$4&lt;=($C33-Assumptions!$B$4+$D33)),$G33,0)</f>
        <v>3896.7557759999995</v>
      </c>
      <c r="N33" s="6">
        <f>IF(AND(($C33-Assumptions!$B$4+1)&lt;=N$4,N$4&lt;=($C33-Assumptions!$B$4+$D33)),$G33,0)</f>
        <v>3896.7557759999995</v>
      </c>
      <c r="O33" s="6">
        <f>IF(AND(($C33-Assumptions!$B$4+1)&lt;=O$4,O$4&lt;=($C33-Assumptions!$B$4+$D33)),$G33,0)</f>
        <v>3896.7557759999995</v>
      </c>
    </row>
    <row r="34" spans="1:15" ht="15" customHeight="1" x14ac:dyDescent="0.2">
      <c r="A34" s="2" t="s">
        <v>294</v>
      </c>
      <c r="B34" s="21">
        <v>128073.3731712</v>
      </c>
      <c r="C34" s="22">
        <f t="shared" si="5"/>
        <v>2031</v>
      </c>
      <c r="D34" s="22">
        <f>Assumptions!$B$35</f>
        <v>10</v>
      </c>
      <c r="E34" s="23">
        <f>Assumptions!$B$36</f>
        <v>0.4</v>
      </c>
      <c r="F34" s="6">
        <f t="shared" si="0"/>
        <v>76844.02390272</v>
      </c>
      <c r="G34" s="6">
        <f t="shared" si="1"/>
        <v>7684.402390272</v>
      </c>
      <c r="H34" s="6"/>
      <c r="I34" s="6"/>
      <c r="J34" s="6"/>
      <c r="K34" s="6"/>
      <c r="L34" s="6">
        <f>IF(AND(($C34-Assumptions!$B$4+1)&lt;=L$4,L$4&lt;=($C34-Assumptions!$B$4+$D34)),$G34,0)</f>
        <v>0</v>
      </c>
      <c r="M34" s="6">
        <f>IF(AND(($C34-Assumptions!$B$4+1)&lt;=M$4,M$4&lt;=($C34-Assumptions!$B$4+$D34)),$G34,0)</f>
        <v>7684.402390272</v>
      </c>
      <c r="N34" s="6">
        <f>IF(AND(($C34-Assumptions!$B$4+1)&lt;=N$4,N$4&lt;=($C34-Assumptions!$B$4+$D34)),$G34,0)</f>
        <v>7684.402390272</v>
      </c>
      <c r="O34" s="6">
        <f>IF(AND(($C34-Assumptions!$B$4+1)&lt;=O$4,O$4&lt;=($C34-Assumptions!$B$4+$D34)),$G34,0)</f>
        <v>7684.402390272</v>
      </c>
    </row>
    <row r="35" spans="1:15" ht="15" customHeight="1" x14ac:dyDescent="0.2">
      <c r="A35" s="2" t="s">
        <v>295</v>
      </c>
      <c r="B35" s="21">
        <v>207213.88514457602</v>
      </c>
      <c r="C35" s="22">
        <f t="shared" si="5"/>
        <v>2032</v>
      </c>
      <c r="D35" s="22">
        <f>Assumptions!$B$35</f>
        <v>10</v>
      </c>
      <c r="E35" s="23">
        <f>Assumptions!$B$36</f>
        <v>0.4</v>
      </c>
      <c r="F35" s="6">
        <f t="shared" si="0"/>
        <v>124328.3310867456</v>
      </c>
      <c r="G35" s="6">
        <f t="shared" si="1"/>
        <v>12432.83310867456</v>
      </c>
      <c r="H35" s="6"/>
      <c r="I35" s="6"/>
      <c r="J35" s="6"/>
      <c r="K35" s="6"/>
      <c r="L35" s="6">
        <f>IF(AND(($C35-Assumptions!$B$4+1)&lt;=L$4,L$4&lt;=($C35-Assumptions!$B$4+$D35)),$G35,0)</f>
        <v>0</v>
      </c>
      <c r="M35" s="6">
        <f>IF(AND(($C35-Assumptions!$B$4+1)&lt;=M$4,M$4&lt;=($C35-Assumptions!$B$4+$D35)),$G35,0)</f>
        <v>0</v>
      </c>
      <c r="N35" s="6">
        <f>IF(AND(($C35-Assumptions!$B$4+1)&lt;=N$4,N$4&lt;=($C35-Assumptions!$B$4+$D35)),$G35,0)</f>
        <v>12432.83310867456</v>
      </c>
      <c r="O35" s="6">
        <f>IF(AND(($C35-Assumptions!$B$4+1)&lt;=O$4,O$4&lt;=($C35-Assumptions!$B$4+$D35)),$G35,0)</f>
        <v>12432.83310867456</v>
      </c>
    </row>
    <row r="36" spans="1:15" ht="15" customHeight="1" x14ac:dyDescent="0.2">
      <c r="A36" s="53" t="s">
        <v>296</v>
      </c>
      <c r="B36" s="54">
        <v>68921.140058956793</v>
      </c>
      <c r="C36" s="55">
        <f t="shared" si="5"/>
        <v>2033</v>
      </c>
      <c r="D36" s="55">
        <f>Assumptions!$B$35</f>
        <v>10</v>
      </c>
      <c r="E36" s="56">
        <f>Assumptions!$B$36</f>
        <v>0.4</v>
      </c>
      <c r="F36" s="57">
        <f t="shared" si="0"/>
        <v>41352.684035374077</v>
      </c>
      <c r="G36" s="57">
        <f t="shared" si="1"/>
        <v>4135.2684035374077</v>
      </c>
      <c r="H36" s="57"/>
      <c r="I36" s="57"/>
      <c r="J36" s="57"/>
      <c r="K36" s="57"/>
      <c r="L36" s="57">
        <f>IF(AND(($C36-Assumptions!$B$4+1)&lt;=L$4,L$4&lt;=($C36-Assumptions!$B$4+$D36)),$G36,0)</f>
        <v>0</v>
      </c>
      <c r="M36" s="57">
        <f>IF(AND(($C36-Assumptions!$B$4+1)&lt;=M$4,M$4&lt;=($C36-Assumptions!$B$4+$D36)),$G36,0)</f>
        <v>0</v>
      </c>
      <c r="N36" s="57">
        <f>IF(AND(($C36-Assumptions!$B$4+1)&lt;=N$4,N$4&lt;=($C36-Assumptions!$B$4+$D36)),$G36,0)</f>
        <v>0</v>
      </c>
      <c r="O36" s="57">
        <f>IF(AND(($C36-Assumptions!$B$4+1)&lt;=O$4,O$4&lt;=($C36-Assumptions!$B$4+$D36)),$G36,0)</f>
        <v>4135.2684035374077</v>
      </c>
    </row>
    <row r="37" spans="1:15" ht="15" customHeight="1" x14ac:dyDescent="0.2">
      <c r="A37" s="2" t="s">
        <v>297</v>
      </c>
      <c r="B37" s="21">
        <f t="array" ref="B37:B44">TRANSPOSE('CapEx &amp; Storage'!E22:L22)</f>
        <v>370000</v>
      </c>
      <c r="C37" s="22">
        <f>Assumptions!$B$4</f>
        <v>2026</v>
      </c>
      <c r="D37" s="22">
        <f>Assumptions!$B$39</f>
        <v>10</v>
      </c>
      <c r="E37" s="23">
        <f>Assumptions!$B$40</f>
        <v>0.1</v>
      </c>
      <c r="F37" s="6">
        <f t="shared" si="0"/>
        <v>333000</v>
      </c>
      <c r="G37" s="6">
        <f t="shared" si="1"/>
        <v>33300</v>
      </c>
      <c r="H37" s="6">
        <f>IF(AND(($C37-Assumptions!$B$4+1)&lt;=H$4,H$4&lt;=($C37-Assumptions!$B$4+$D37)),$G37,0)</f>
        <v>33300</v>
      </c>
      <c r="I37" s="6">
        <f>IF(AND(($C37-Assumptions!$B$4+1)&lt;=I$4,I$4&lt;=($C37-Assumptions!$B$4+$D37)),$G37,0)</f>
        <v>33300</v>
      </c>
      <c r="J37" s="6">
        <f>IF(AND(($C37-Assumptions!$B$4+1)&lt;=J$4,J$4&lt;=($C37-Assumptions!$B$4+$D37)),$G37,0)</f>
        <v>33300</v>
      </c>
      <c r="K37" s="6">
        <f>IF(AND(($C37-Assumptions!$B$4+1)&lt;=K$4,K$4&lt;=($C37-Assumptions!$B$4+$D37)),$G37,0)</f>
        <v>33300</v>
      </c>
      <c r="L37" s="6">
        <f>IF(AND(($C37-Assumptions!$B$4+1)&lt;=L$4,L$4&lt;=($C37-Assumptions!$B$4+$D37)),$G37,0)</f>
        <v>33300</v>
      </c>
      <c r="M37" s="6">
        <f>IF(AND(($C37-Assumptions!$B$4+1)&lt;=M$4,M$4&lt;=($C37-Assumptions!$B$4+$D37)),$G37,0)</f>
        <v>33300</v>
      </c>
      <c r="N37" s="6">
        <f>IF(AND(($C37-Assumptions!$B$4+1)&lt;=N$4,N$4&lt;=($C37-Assumptions!$B$4+$D37)),$G37,0)</f>
        <v>33300</v>
      </c>
      <c r="O37" s="6">
        <f>IF(AND(($C37-Assumptions!$B$4+1)&lt;=O$4,O$4&lt;=($C37-Assumptions!$B$4+$D37)),$G37,0)</f>
        <v>33300</v>
      </c>
    </row>
    <row r="38" spans="1:15" ht="15" customHeight="1" x14ac:dyDescent="0.2">
      <c r="A38" s="2" t="s">
        <v>298</v>
      </c>
      <c r="B38" s="21">
        <v>0</v>
      </c>
      <c r="C38" s="22">
        <f t="shared" ref="C38:C44" si="6">C37+1</f>
        <v>2027</v>
      </c>
      <c r="D38" s="22">
        <f>Assumptions!$B$39</f>
        <v>10</v>
      </c>
      <c r="E38" s="23">
        <f>Assumptions!$B$40</f>
        <v>0.1</v>
      </c>
      <c r="F38" s="6">
        <f t="shared" si="0"/>
        <v>0</v>
      </c>
      <c r="G38" s="6">
        <f t="shared" si="1"/>
        <v>0</v>
      </c>
      <c r="H38" s="6">
        <f>IF(AND(($C38-Assumptions!$B$4+1)&lt;=H$4,H$4&lt;=($C38-Assumptions!$B$4+$D38)),$G38,0)</f>
        <v>0</v>
      </c>
      <c r="I38" s="6">
        <f>IF(AND(($C38-Assumptions!$B$4+1)&lt;=I$4,I$4&lt;=($C38-Assumptions!$B$4+$D38)),$G38,0)</f>
        <v>0</v>
      </c>
      <c r="J38" s="6">
        <f>IF(AND(($C38-Assumptions!$B$4+1)&lt;=J$4,J$4&lt;=($C38-Assumptions!$B$4+$D38)),$G38,0)</f>
        <v>0</v>
      </c>
      <c r="K38" s="6">
        <f>IF(AND(($C38-Assumptions!$B$4+1)&lt;=K$4,K$4&lt;=($C38-Assumptions!$B$4+$D38)),$G38,0)</f>
        <v>0</v>
      </c>
      <c r="L38" s="6">
        <f>IF(AND(($C38-Assumptions!$B$4+1)&lt;=L$4,L$4&lt;=($C38-Assumptions!$B$4+$D38)),$G38,0)</f>
        <v>0</v>
      </c>
      <c r="M38" s="6">
        <f>IF(AND(($C38-Assumptions!$B$4+1)&lt;=M$4,M$4&lt;=($C38-Assumptions!$B$4+$D38)),$G38,0)</f>
        <v>0</v>
      </c>
      <c r="N38" s="6">
        <f>IF(AND(($C38-Assumptions!$B$4+1)&lt;=N$4,N$4&lt;=($C38-Assumptions!$B$4+$D38)),$G38,0)</f>
        <v>0</v>
      </c>
      <c r="O38" s="6">
        <f>IF(AND(($C38-Assumptions!$B$4+1)&lt;=O$4,O$4&lt;=($C38-Assumptions!$B$4+$D38)),$G38,0)</f>
        <v>0</v>
      </c>
    </row>
    <row r="39" spans="1:15" ht="15" customHeight="1" x14ac:dyDescent="0.2">
      <c r="A39" s="2" t="s">
        <v>299</v>
      </c>
      <c r="B39" s="21">
        <v>52020</v>
      </c>
      <c r="C39" s="22">
        <f t="shared" si="6"/>
        <v>2028</v>
      </c>
      <c r="D39" s="22">
        <f>Assumptions!$B$39</f>
        <v>10</v>
      </c>
      <c r="E39" s="23">
        <f>Assumptions!$B$40</f>
        <v>0.1</v>
      </c>
      <c r="F39" s="6">
        <f t="shared" si="0"/>
        <v>46818</v>
      </c>
      <c r="G39" s="6">
        <f t="shared" si="1"/>
        <v>4681.8</v>
      </c>
      <c r="H39" s="6">
        <f>IF(AND(($C39-Assumptions!$B$4+1)&lt;=H$4,H$4&lt;=($C39-Assumptions!$B$4+$D39)),$G39,0)</f>
        <v>0</v>
      </c>
      <c r="I39" s="6">
        <f>IF(AND(($C39-Assumptions!$B$4+1)&lt;=I$4,I$4&lt;=($C39-Assumptions!$B$4+$D39)),$G39,0)</f>
        <v>0</v>
      </c>
      <c r="J39" s="6">
        <f>IF(AND(($C39-Assumptions!$B$4+1)&lt;=J$4,J$4&lt;=($C39-Assumptions!$B$4+$D39)),$G39,0)</f>
        <v>4681.8</v>
      </c>
      <c r="K39" s="6">
        <f>IF(AND(($C39-Assumptions!$B$4+1)&lt;=K$4,K$4&lt;=($C39-Assumptions!$B$4+$D39)),$G39,0)</f>
        <v>4681.8</v>
      </c>
      <c r="L39" s="6">
        <f>IF(AND(($C39-Assumptions!$B$4+1)&lt;=L$4,L$4&lt;=($C39-Assumptions!$B$4+$D39)),$G39,0)</f>
        <v>4681.8</v>
      </c>
      <c r="M39" s="6">
        <f>IF(AND(($C39-Assumptions!$B$4+1)&lt;=M$4,M$4&lt;=($C39-Assumptions!$B$4+$D39)),$G39,0)</f>
        <v>4681.8</v>
      </c>
      <c r="N39" s="6">
        <f>IF(AND(($C39-Assumptions!$B$4+1)&lt;=N$4,N$4&lt;=($C39-Assumptions!$B$4+$D39)),$G39,0)</f>
        <v>4681.8</v>
      </c>
      <c r="O39" s="6">
        <f>IF(AND(($C39-Assumptions!$B$4+1)&lt;=O$4,O$4&lt;=($C39-Assumptions!$B$4+$D39)),$G39,0)</f>
        <v>4681.8</v>
      </c>
    </row>
    <row r="40" spans="1:15" ht="15" customHeight="1" x14ac:dyDescent="0.2">
      <c r="A40" s="2" t="s">
        <v>300</v>
      </c>
      <c r="B40" s="21">
        <v>21224.16</v>
      </c>
      <c r="C40" s="22">
        <f t="shared" si="6"/>
        <v>2029</v>
      </c>
      <c r="D40" s="22">
        <f>Assumptions!$B$39</f>
        <v>10</v>
      </c>
      <c r="E40" s="23">
        <f>Assumptions!$B$40</f>
        <v>0.1</v>
      </c>
      <c r="F40" s="6">
        <f t="shared" si="0"/>
        <v>19101.743999999999</v>
      </c>
      <c r="G40" s="6">
        <f t="shared" si="1"/>
        <v>1910.1743999999999</v>
      </c>
      <c r="H40" s="6">
        <f>IF(AND(($C40-Assumptions!$B$4+1)&lt;=H$4,H$4&lt;=($C40-Assumptions!$B$4+$D40)),$G40,0)</f>
        <v>0</v>
      </c>
      <c r="I40" s="6">
        <f>IF(AND(($C40-Assumptions!$B$4+1)&lt;=I$4,I$4&lt;=($C40-Assumptions!$B$4+$D40)),$G40,0)</f>
        <v>0</v>
      </c>
      <c r="J40" s="6">
        <f>IF(AND(($C40-Assumptions!$B$4+1)&lt;=J$4,J$4&lt;=($C40-Assumptions!$B$4+$D40)),$G40,0)</f>
        <v>0</v>
      </c>
      <c r="K40" s="6">
        <f>IF(AND(($C40-Assumptions!$B$4+1)&lt;=K$4,K$4&lt;=($C40-Assumptions!$B$4+$D40)),$G40,0)</f>
        <v>1910.1743999999999</v>
      </c>
      <c r="L40" s="6">
        <f>IF(AND(($C40-Assumptions!$B$4+1)&lt;=L$4,L$4&lt;=($C40-Assumptions!$B$4+$D40)),$G40,0)</f>
        <v>1910.1743999999999</v>
      </c>
      <c r="M40" s="6">
        <f>IF(AND(($C40-Assumptions!$B$4+1)&lt;=M$4,M$4&lt;=($C40-Assumptions!$B$4+$D40)),$G40,0)</f>
        <v>1910.1743999999999</v>
      </c>
      <c r="N40" s="6">
        <f>IF(AND(($C40-Assumptions!$B$4+1)&lt;=N$4,N$4&lt;=($C40-Assumptions!$B$4+$D40)),$G40,0)</f>
        <v>1910.1743999999999</v>
      </c>
      <c r="O40" s="6">
        <f>IF(AND(($C40-Assumptions!$B$4+1)&lt;=O$4,O$4&lt;=($C40-Assumptions!$B$4+$D40)),$G40,0)</f>
        <v>1910.1743999999999</v>
      </c>
    </row>
    <row r="41" spans="1:15" ht="15" customHeight="1" x14ac:dyDescent="0.2">
      <c r="A41" s="2" t="s">
        <v>301</v>
      </c>
      <c r="B41" s="21">
        <v>20566.211039999998</v>
      </c>
      <c r="C41" s="22">
        <f t="shared" si="6"/>
        <v>2030</v>
      </c>
      <c r="D41" s="22">
        <f>Assumptions!$B$39</f>
        <v>10</v>
      </c>
      <c r="E41" s="23">
        <f>Assumptions!$B$40</f>
        <v>0.1</v>
      </c>
      <c r="F41" s="6">
        <f t="shared" si="0"/>
        <v>18509.589936</v>
      </c>
      <c r="G41" s="6">
        <f t="shared" si="1"/>
        <v>1850.9589936</v>
      </c>
      <c r="H41" s="6">
        <f>IF(AND(($C41-Assumptions!$B$4+1)&lt;=H$4,H$4&lt;=($C41-Assumptions!$B$4+$D41)),$G41,0)</f>
        <v>0</v>
      </c>
      <c r="I41" s="6">
        <f>IF(AND(($C41-Assumptions!$B$4+1)&lt;=I$4,I$4&lt;=($C41-Assumptions!$B$4+$D41)),$G41,0)</f>
        <v>0</v>
      </c>
      <c r="J41" s="6">
        <f>IF(AND(($C41-Assumptions!$B$4+1)&lt;=J$4,J$4&lt;=($C41-Assumptions!$B$4+$D41)),$G41,0)</f>
        <v>0</v>
      </c>
      <c r="K41" s="6">
        <f>IF(AND(($C41-Assumptions!$B$4+1)&lt;=K$4,K$4&lt;=($C41-Assumptions!$B$4+$D41)),$G41,0)</f>
        <v>0</v>
      </c>
      <c r="L41" s="6">
        <f>IF(AND(($C41-Assumptions!$B$4+1)&lt;=L$4,L$4&lt;=($C41-Assumptions!$B$4+$D41)),$G41,0)</f>
        <v>1850.9589936</v>
      </c>
      <c r="M41" s="6">
        <f>IF(AND(($C41-Assumptions!$B$4+1)&lt;=M$4,M$4&lt;=($C41-Assumptions!$B$4+$D41)),$G41,0)</f>
        <v>1850.9589936</v>
      </c>
      <c r="N41" s="6">
        <f>IF(AND(($C41-Assumptions!$B$4+1)&lt;=N$4,N$4&lt;=($C41-Assumptions!$B$4+$D41)),$G41,0)</f>
        <v>1850.9589936</v>
      </c>
      <c r="O41" s="6">
        <f>IF(AND(($C41-Assumptions!$B$4+1)&lt;=O$4,O$4&lt;=($C41-Assumptions!$B$4+$D41)),$G41,0)</f>
        <v>1850.9589936</v>
      </c>
    </row>
    <row r="42" spans="1:15" ht="15" customHeight="1" x14ac:dyDescent="0.2">
      <c r="A42" s="2" t="s">
        <v>302</v>
      </c>
      <c r="B42" s="21">
        <v>23185.6968672</v>
      </c>
      <c r="C42" s="22">
        <f t="shared" si="6"/>
        <v>2031</v>
      </c>
      <c r="D42" s="22">
        <f>Assumptions!$B$39</f>
        <v>10</v>
      </c>
      <c r="E42" s="23">
        <f>Assumptions!$B$40</f>
        <v>0.1</v>
      </c>
      <c r="F42" s="6">
        <f t="shared" si="0"/>
        <v>20867.127180480002</v>
      </c>
      <c r="G42" s="6">
        <f t="shared" si="1"/>
        <v>2086.7127180480002</v>
      </c>
      <c r="H42" s="6">
        <f>IF(AND(($C42-Assumptions!$B$4+1)&lt;=H$4,H$4&lt;=($C42-Assumptions!$B$4+$D42)),$G42,0)</f>
        <v>0</v>
      </c>
      <c r="I42" s="6">
        <f>IF(AND(($C42-Assumptions!$B$4+1)&lt;=I$4,I$4&lt;=($C42-Assumptions!$B$4+$D42)),$G42,0)</f>
        <v>0</v>
      </c>
      <c r="J42" s="6">
        <f>IF(AND(($C42-Assumptions!$B$4+1)&lt;=J$4,J$4&lt;=($C42-Assumptions!$B$4+$D42)),$G42,0)</f>
        <v>0</v>
      </c>
      <c r="K42" s="6">
        <f>IF(AND(($C42-Assumptions!$B$4+1)&lt;=K$4,K$4&lt;=($C42-Assumptions!$B$4+$D42)),$G42,0)</f>
        <v>0</v>
      </c>
      <c r="L42" s="6">
        <f>IF(AND(($C42-Assumptions!$B$4+1)&lt;=L$4,L$4&lt;=($C42-Assumptions!$B$4+$D42)),$G42,0)</f>
        <v>0</v>
      </c>
      <c r="M42" s="6">
        <f>IF(AND(($C42-Assumptions!$B$4+1)&lt;=M$4,M$4&lt;=($C42-Assumptions!$B$4+$D42)),$G42,0)</f>
        <v>2086.7127180480002</v>
      </c>
      <c r="N42" s="6">
        <f>IF(AND(($C42-Assumptions!$B$4+1)&lt;=N$4,N$4&lt;=($C42-Assumptions!$B$4+$D42)),$G42,0)</f>
        <v>2086.7127180480002</v>
      </c>
      <c r="O42" s="6">
        <f>IF(AND(($C42-Assumptions!$B$4+1)&lt;=O$4,O$4&lt;=($C42-Assumptions!$B$4+$D42)),$G42,0)</f>
        <v>2086.7127180480002</v>
      </c>
    </row>
    <row r="43" spans="1:15" ht="15" customHeight="1" x14ac:dyDescent="0.2">
      <c r="A43" s="2" t="s">
        <v>303</v>
      </c>
      <c r="B43" s="21">
        <v>45046.496770559999</v>
      </c>
      <c r="C43" s="22">
        <f t="shared" si="6"/>
        <v>2032</v>
      </c>
      <c r="D43" s="22">
        <f>Assumptions!$B$39</f>
        <v>10</v>
      </c>
      <c r="E43" s="23">
        <f>Assumptions!$B$40</f>
        <v>0.1</v>
      </c>
      <c r="F43" s="6">
        <f t="shared" si="0"/>
        <v>40541.847093504002</v>
      </c>
      <c r="G43" s="6">
        <f t="shared" si="1"/>
        <v>4054.1847093504002</v>
      </c>
      <c r="H43" s="6">
        <f>IF(AND(($C43-Assumptions!$B$4+1)&lt;=H$4,H$4&lt;=($C43-Assumptions!$B$4+$D43)),$G43,0)</f>
        <v>0</v>
      </c>
      <c r="I43" s="6">
        <f>IF(AND(($C43-Assumptions!$B$4+1)&lt;=I$4,I$4&lt;=($C43-Assumptions!$B$4+$D43)),$G43,0)</f>
        <v>0</v>
      </c>
      <c r="J43" s="6">
        <f>IF(AND(($C43-Assumptions!$B$4+1)&lt;=J$4,J$4&lt;=($C43-Assumptions!$B$4+$D43)),$G43,0)</f>
        <v>0</v>
      </c>
      <c r="K43" s="6">
        <f>IF(AND(($C43-Assumptions!$B$4+1)&lt;=K$4,K$4&lt;=($C43-Assumptions!$B$4+$D43)),$G43,0)</f>
        <v>0</v>
      </c>
      <c r="L43" s="6">
        <f>IF(AND(($C43-Assumptions!$B$4+1)&lt;=L$4,L$4&lt;=($C43-Assumptions!$B$4+$D43)),$G43,0)</f>
        <v>0</v>
      </c>
      <c r="M43" s="6">
        <f>IF(AND(($C43-Assumptions!$B$4+1)&lt;=M$4,M$4&lt;=($C43-Assumptions!$B$4+$D43)),$G43,0)</f>
        <v>0</v>
      </c>
      <c r="N43" s="6">
        <f>IF(AND(($C43-Assumptions!$B$4+1)&lt;=N$4,N$4&lt;=($C43-Assumptions!$B$4+$D43)),$G43,0)</f>
        <v>4054.1847093504002</v>
      </c>
      <c r="O43" s="6">
        <f>IF(AND(($C43-Assumptions!$B$4+1)&lt;=O$4,O$4&lt;=($C43-Assumptions!$B$4+$D43)),$G43,0)</f>
        <v>4054.1847093504002</v>
      </c>
    </row>
    <row r="44" spans="1:15" ht="15" customHeight="1" x14ac:dyDescent="0.2">
      <c r="A44" s="53" t="s">
        <v>304</v>
      </c>
      <c r="B44" s="54">
        <v>22973.713352985596</v>
      </c>
      <c r="C44" s="55">
        <f t="shared" si="6"/>
        <v>2033</v>
      </c>
      <c r="D44" s="55">
        <f>Assumptions!$B$39</f>
        <v>10</v>
      </c>
      <c r="E44" s="56">
        <f>Assumptions!$B$40</f>
        <v>0.1</v>
      </c>
      <c r="F44" s="57">
        <f t="shared" si="0"/>
        <v>20676.342017687039</v>
      </c>
      <c r="G44" s="57">
        <f t="shared" si="1"/>
        <v>2067.6342017687039</v>
      </c>
      <c r="H44" s="57">
        <f>IF(AND(($C44-Assumptions!$B$4+1)&lt;=H$4,H$4&lt;=($C44-Assumptions!$B$4+$D44)),$G44,0)</f>
        <v>0</v>
      </c>
      <c r="I44" s="57">
        <f>IF(AND(($C44-Assumptions!$B$4+1)&lt;=I$4,I$4&lt;=($C44-Assumptions!$B$4+$D44)),$G44,0)</f>
        <v>0</v>
      </c>
      <c r="J44" s="57">
        <f>IF(AND(($C44-Assumptions!$B$4+1)&lt;=J$4,J$4&lt;=($C44-Assumptions!$B$4+$D44)),$G44,0)</f>
        <v>0</v>
      </c>
      <c r="K44" s="57">
        <f>IF(AND(($C44-Assumptions!$B$4+1)&lt;=K$4,K$4&lt;=($C44-Assumptions!$B$4+$D44)),$G44,0)</f>
        <v>0</v>
      </c>
      <c r="L44" s="57">
        <f>IF(AND(($C44-Assumptions!$B$4+1)&lt;=L$4,L$4&lt;=($C44-Assumptions!$B$4+$D44)),$G44,0)</f>
        <v>0</v>
      </c>
      <c r="M44" s="57">
        <f>IF(AND(($C44-Assumptions!$B$4+1)&lt;=M$4,M$4&lt;=($C44-Assumptions!$B$4+$D44)),$G44,0)</f>
        <v>0</v>
      </c>
      <c r="N44" s="57">
        <f>IF(AND(($C44-Assumptions!$B$4+1)&lt;=N$4,N$4&lt;=($C44-Assumptions!$B$4+$D44)),$G44,0)</f>
        <v>0</v>
      </c>
      <c r="O44" s="57">
        <f>IF(AND(($C44-Assumptions!$B$4+1)&lt;=O$4,O$4&lt;=($C44-Assumptions!$B$4+$D44)),$G44,0)</f>
        <v>2067.6342017687039</v>
      </c>
    </row>
    <row r="45" spans="1:15" ht="15" customHeight="1" x14ac:dyDescent="0.2">
      <c r="A45" s="2"/>
      <c r="B45" s="21"/>
      <c r="C45" s="22"/>
      <c r="D45" s="22"/>
      <c r="E45" s="23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ht="15" customHeight="1" thickBot="1" x14ac:dyDescent="0.25">
      <c r="A46" s="15" t="s">
        <v>305</v>
      </c>
      <c r="B46" s="16"/>
      <c r="C46" s="16"/>
      <c r="D46" s="16"/>
      <c r="E46" s="16"/>
      <c r="F46" s="16"/>
      <c r="G46" s="16"/>
      <c r="H46" s="17">
        <f t="shared" ref="H46:O46" si="7">SUM(H5:H41)</f>
        <v>884350</v>
      </c>
      <c r="I46" s="17">
        <f t="shared" si="7"/>
        <v>969697.48</v>
      </c>
      <c r="J46" s="17">
        <f t="shared" si="7"/>
        <v>1062884.0272000001</v>
      </c>
      <c r="K46" s="17">
        <f t="shared" si="7"/>
        <v>1174414.865584</v>
      </c>
      <c r="L46" s="17">
        <f t="shared" si="7"/>
        <v>1278547.0042403198</v>
      </c>
      <c r="M46" s="17">
        <f t="shared" si="7"/>
        <v>1307818.3944947582</v>
      </c>
      <c r="N46" s="17">
        <f t="shared" si="7"/>
        <v>1340810.4487295162</v>
      </c>
      <c r="O46" s="17">
        <f t="shared" si="7"/>
        <v>1364303.3680042792</v>
      </c>
    </row>
    <row r="48" spans="1:15" ht="15" customHeight="1" x14ac:dyDescent="0.2">
      <c r="A48" s="1" t="s">
        <v>306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 x14ac:dyDescent="0.2">
      <c r="A49" s="12" t="s">
        <v>307</v>
      </c>
      <c r="H49" s="6">
        <f>SUM(B5,B13,B21,B29,B37)</f>
        <v>9942100</v>
      </c>
      <c r="I49" s="6">
        <f>SUM(B5:B6,B13:B14,B21:B22,B29:B30,B37:B38)</f>
        <v>10841434</v>
      </c>
      <c r="J49" s="6">
        <f>SUM(B5:B7,B13:B15,B21:B23,B29:B31,B37:B39)</f>
        <v>11882042.08</v>
      </c>
      <c r="K49" s="6">
        <f>SUM(B5:B8,B13:B16,B21:B24,B29:B32,B37:B40)</f>
        <v>13112300.5144</v>
      </c>
      <c r="L49" s="6">
        <f>SUM(B5:B9,B13:B17,B21:B25,B29:B33,B37:B41)</f>
        <v>14200361.321632</v>
      </c>
      <c r="M49" s="6">
        <f>SUM(B5:B10,B13:B18,B21:B26,B29:B34,B37:B42)</f>
        <v>14681961.367987838</v>
      </c>
      <c r="N49" s="6">
        <f>SUM(B5:B11,B13:B19,B21:B27,B29:B35,B37:B43)</f>
        <v>15246844.437490661</v>
      </c>
      <c r="O49" s="6">
        <f>SUM(_xlfn.ANCHORARRAY(B5),_xlfn.ANCHORARRAY(B13),_xlfn.ANCHORARRAY(B21),_xlfn.ANCHORARRAY(B29),_xlfn.ANCHORARRAY(B37))</f>
        <v>15630735.187619051</v>
      </c>
    </row>
    <row r="50" spans="1:15" ht="15" customHeight="1" x14ac:dyDescent="0.2">
      <c r="A50" s="12" t="s">
        <v>308</v>
      </c>
      <c r="H50" s="6">
        <f>SUM($H$46:H46)</f>
        <v>884350</v>
      </c>
      <c r="I50" s="6">
        <f>SUM($H$46:I46)</f>
        <v>1854047.48</v>
      </c>
      <c r="J50" s="6">
        <f>SUM($H$46:J46)</f>
        <v>2916931.5071999999</v>
      </c>
      <c r="K50" s="6">
        <f>SUM($H$46:K46)</f>
        <v>4091346.3727839999</v>
      </c>
      <c r="L50" s="6">
        <f>SUM($H$46:L46)</f>
        <v>5369893.37702432</v>
      </c>
      <c r="M50" s="6">
        <f>SUM($H$46:M46)</f>
        <v>6677711.7715190779</v>
      </c>
      <c r="N50" s="6">
        <f>SUM($H$46:N46)</f>
        <v>8018522.2202485939</v>
      </c>
      <c r="O50" s="6">
        <f>SUM($H$46:O46)</f>
        <v>9382825.5882528722</v>
      </c>
    </row>
    <row r="51" spans="1:15" ht="15" customHeight="1" thickBot="1" x14ac:dyDescent="0.25">
      <c r="A51" s="15" t="s">
        <v>309</v>
      </c>
      <c r="B51" s="16"/>
      <c r="C51" s="16"/>
      <c r="D51" s="16"/>
      <c r="E51" s="16"/>
      <c r="F51" s="16"/>
      <c r="G51" s="16"/>
      <c r="H51" s="17">
        <f t="shared" ref="H51:O51" si="8">H49-H50</f>
        <v>9057750</v>
      </c>
      <c r="I51" s="17">
        <f t="shared" si="8"/>
        <v>8987386.5199999996</v>
      </c>
      <c r="J51" s="17">
        <f t="shared" si="8"/>
        <v>8965110.5727999993</v>
      </c>
      <c r="K51" s="17">
        <f t="shared" si="8"/>
        <v>9020954.1416159999</v>
      </c>
      <c r="L51" s="17">
        <f t="shared" si="8"/>
        <v>8830467.9446076788</v>
      </c>
      <c r="M51" s="17">
        <f t="shared" si="8"/>
        <v>8004249.5964687597</v>
      </c>
      <c r="N51" s="17">
        <f t="shared" si="8"/>
        <v>7228322.2172420667</v>
      </c>
      <c r="O51" s="17">
        <f t="shared" si="8"/>
        <v>6247909.5993661787</v>
      </c>
    </row>
    <row r="55" spans="1:15" x14ac:dyDescent="0.2">
      <c r="H55" s="36"/>
      <c r="I55" s="36"/>
      <c r="J55" s="36"/>
      <c r="K55" s="36"/>
      <c r="L55" s="36"/>
      <c r="M55" s="36"/>
      <c r="N55" s="36"/>
      <c r="O55" s="36"/>
    </row>
    <row r="56" spans="1:15" x14ac:dyDescent="0.2">
      <c r="H56" s="36"/>
      <c r="I56" s="36"/>
      <c r="J56" s="36"/>
      <c r="K56" s="36"/>
      <c r="L56" s="36"/>
      <c r="M56" s="36"/>
      <c r="N56" s="36"/>
      <c r="O56" s="36"/>
    </row>
    <row r="57" spans="1:15" x14ac:dyDescent="0.2">
      <c r="H57" s="36"/>
    </row>
    <row r="58" spans="1:15" x14ac:dyDescent="0.2">
      <c r="H58" s="36"/>
    </row>
    <row r="59" spans="1:15" x14ac:dyDescent="0.2">
      <c r="H59" s="3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/>
  </sheetPr>
  <dimension ref="A1:S55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25" customWidth="1"/>
    <col min="3" max="11" width="13" customWidth="1"/>
    <col min="12" max="12" width="10.33203125" bestFit="1" customWidth="1"/>
    <col min="14" max="14" width="10.83203125" bestFit="1" customWidth="1"/>
    <col min="18" max="18" width="12.6640625" bestFit="1" customWidth="1"/>
    <col min="19" max="19" width="10.5" bestFit="1" customWidth="1"/>
  </cols>
  <sheetData>
    <row r="1" spans="1:12" ht="24" customHeight="1" x14ac:dyDescent="0.2">
      <c r="A1" s="35" t="s">
        <v>310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2" x14ac:dyDescent="0.2">
      <c r="A2" s="3" t="s">
        <v>311</v>
      </c>
    </row>
    <row r="3" spans="1:12" x14ac:dyDescent="0.2">
      <c r="A3" s="3"/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</row>
    <row r="4" spans="1:12" x14ac:dyDescent="0.2">
      <c r="A4" s="45"/>
      <c r="B4" s="45" t="s">
        <v>312</v>
      </c>
      <c r="C4" s="105" t="s">
        <v>133</v>
      </c>
      <c r="D4" s="105" t="s">
        <v>134</v>
      </c>
      <c r="E4" s="105" t="s">
        <v>135</v>
      </c>
      <c r="F4" s="105" t="s">
        <v>136</v>
      </c>
      <c r="G4" s="105" t="s">
        <v>137</v>
      </c>
      <c r="H4" s="105" t="s">
        <v>138</v>
      </c>
      <c r="I4" s="105" t="s">
        <v>139</v>
      </c>
      <c r="J4" s="105" t="s">
        <v>140</v>
      </c>
      <c r="K4" s="105" t="s">
        <v>313</v>
      </c>
    </row>
    <row r="5" spans="1:12" x14ac:dyDescent="0.2">
      <c r="A5" s="1" t="s">
        <v>314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2" x14ac:dyDescent="0.2">
      <c r="A6" s="12" t="s">
        <v>315</v>
      </c>
      <c r="B6" s="25" t="s">
        <v>316</v>
      </c>
      <c r="C6" s="21">
        <f>Assumptions!B9</f>
        <v>12</v>
      </c>
      <c r="D6" s="6">
        <f>ROUND(C6*(1+Assumptions!$B$15),0)</f>
        <v>13</v>
      </c>
      <c r="E6" s="6">
        <f>ROUND(D6*(1+Assumptions!$B$15),0)</f>
        <v>14</v>
      </c>
      <c r="F6" s="6">
        <f>ROUND(E6*(1+Assumptions!$B$15),0)</f>
        <v>15</v>
      </c>
      <c r="G6" s="6">
        <f>ROUND(F6*(1+Assumptions!$B$15),0)</f>
        <v>17</v>
      </c>
      <c r="H6" s="6">
        <f>ROUND(G6*(1+Assumptions!$B$15),0)</f>
        <v>19</v>
      </c>
      <c r="I6" s="6">
        <f>ROUND(H6*(1+Assumptions!$B$15),0)</f>
        <v>21</v>
      </c>
      <c r="J6" s="6">
        <f>ROUND(I6*(1+Assumptions!$B$15),0)</f>
        <v>23</v>
      </c>
      <c r="K6" s="24"/>
    </row>
    <row r="7" spans="1:12" x14ac:dyDescent="0.2">
      <c r="A7" s="12" t="s">
        <v>414</v>
      </c>
      <c r="B7" s="25"/>
      <c r="C7" s="144">
        <f>_xlfn.XLOOKUP(C$3,Simulation!$A$2:$A$41,Simulation!$J$2:$J$41,,0,1)</f>
        <v>5.99871826171875</v>
      </c>
      <c r="D7" s="144">
        <f>_xlfn.XLOOKUP(D$3,Simulation!$A$2:$A$41,Simulation!$J$2:$J$41,,0,1)</f>
        <v>6.4988317489624023</v>
      </c>
      <c r="E7" s="144">
        <f>_xlfn.XLOOKUP(E$3,Simulation!$A$2:$A$41,Simulation!$J$2:$J$41,,0,1)</f>
        <v>7.0027966499328613</v>
      </c>
      <c r="F7" s="144">
        <f>_xlfn.XLOOKUP(F$3,Simulation!$A$2:$A$41,Simulation!$J$2:$J$41,,0,1)</f>
        <v>7.4983177185058594</v>
      </c>
      <c r="G7" s="144">
        <f>_xlfn.XLOOKUP(G$3,Simulation!$A$2:$A$41,Simulation!$J$2:$J$41,,0,1)</f>
        <v>8.5018215179443359</v>
      </c>
      <c r="H7" s="144">
        <f>_xlfn.XLOOKUP(H$3,Simulation!$A$2:$A$41,Simulation!$J$2:$J$41,,0,1)</f>
        <v>9.5001287460327148</v>
      </c>
      <c r="I7" s="144">
        <f>_xlfn.XLOOKUP(I$3,Simulation!$A$2:$A$41,Simulation!$J$2:$J$41,,0,1)</f>
        <v>10.49698448181152</v>
      </c>
      <c r="J7" s="144">
        <f>_xlfn.XLOOKUP(J$3,Simulation!$A$2:$A$41,Simulation!$J$2:$J$41,,0,1)</f>
        <v>11.500705718994141</v>
      </c>
      <c r="K7" s="24"/>
    </row>
    <row r="8" spans="1:12" x14ac:dyDescent="0.2">
      <c r="A8" s="12" t="s">
        <v>415</v>
      </c>
      <c r="B8" s="25"/>
      <c r="C8" s="144">
        <f>_xlfn.XLOOKUP(C$3,Simulation!$A$2:$A$41,Simulation!$K$2:$K$41,,0,1)</f>
        <v>6</v>
      </c>
      <c r="D8" s="144">
        <f>_xlfn.XLOOKUP(D$3,Simulation!$A$2:$A$41,Simulation!$K$2:$K$41,,0,1)</f>
        <v>6</v>
      </c>
      <c r="E8" s="144">
        <f>_xlfn.XLOOKUP(E$3,Simulation!$A$2:$A$41,Simulation!$K$2:$K$41,,0,1)</f>
        <v>7</v>
      </c>
      <c r="F8" s="144">
        <f>_xlfn.XLOOKUP(F$3,Simulation!$A$2:$A$41,Simulation!$K$2:$K$41,,0,1)</f>
        <v>7</v>
      </c>
      <c r="G8" s="144">
        <f>_xlfn.XLOOKUP(G$3,Simulation!$A$2:$A$41,Simulation!$K$2:$K$41,,0,1)</f>
        <v>9</v>
      </c>
      <c r="H8" s="144">
        <f>_xlfn.XLOOKUP(H$3,Simulation!$A$2:$A$41,Simulation!$K$2:$K$41,,0,1)</f>
        <v>9</v>
      </c>
      <c r="I8" s="144">
        <f>_xlfn.XLOOKUP(I$3,Simulation!$A$2:$A$41,Simulation!$K$2:$K$41,,0,1)</f>
        <v>10</v>
      </c>
      <c r="J8" s="144">
        <f>_xlfn.XLOOKUP(J$3,Simulation!$A$2:$A$41,Simulation!$K$2:$K$41,,0,1)</f>
        <v>11.5</v>
      </c>
      <c r="K8" s="24"/>
    </row>
    <row r="9" spans="1:12" x14ac:dyDescent="0.2">
      <c r="A9" s="12"/>
      <c r="B9" s="21"/>
      <c r="C9" s="21"/>
      <c r="D9" s="6"/>
      <c r="E9" s="6"/>
      <c r="F9" s="6"/>
      <c r="G9" s="6"/>
      <c r="H9" s="6"/>
      <c r="I9" s="6"/>
      <c r="J9" s="6"/>
      <c r="K9" s="24"/>
    </row>
    <row r="10" spans="1:12" x14ac:dyDescent="0.2">
      <c r="A10" s="1" t="s">
        <v>317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2" x14ac:dyDescent="0.2">
      <c r="A11" s="12" t="s">
        <v>318</v>
      </c>
      <c r="B11" s="21"/>
      <c r="C11" s="21">
        <f>'CapEx &amp; Storage'!E45</f>
        <v>73</v>
      </c>
      <c r="D11" s="21">
        <f>'CapEx &amp; Storage'!F45</f>
        <v>80</v>
      </c>
      <c r="E11" s="21">
        <f>'CapEx &amp; Storage'!G45</f>
        <v>88</v>
      </c>
      <c r="F11" s="21">
        <f>'CapEx &amp; Storage'!H45</f>
        <v>97</v>
      </c>
      <c r="G11" s="21">
        <f>'CapEx &amp; Storage'!I45</f>
        <v>107</v>
      </c>
      <c r="H11" s="21">
        <f>'CapEx &amp; Storage'!J45</f>
        <v>107</v>
      </c>
      <c r="I11" s="21">
        <f>'CapEx &amp; Storage'!K45</f>
        <v>107</v>
      </c>
      <c r="J11" s="21">
        <f>'CapEx &amp; Storage'!L45</f>
        <v>107</v>
      </c>
      <c r="K11" s="24"/>
    </row>
    <row r="12" spans="1:12" ht="27" customHeight="1" x14ac:dyDescent="0.2">
      <c r="A12" s="12" t="s">
        <v>319</v>
      </c>
      <c r="B12" s="91"/>
      <c r="C12" s="21">
        <f t="array" ref="C12">INDEX(Simulation!$I$2:$I$41,MATCH(1,(Simulation!$C$2:$C$41="Cabins")*(Simulation!$A$2:$A$41=C$3),0))</f>
        <v>2778</v>
      </c>
      <c r="D12" s="21">
        <f t="array" ref="D12">INDEX(Simulation!$I$2:$I$41,MATCH(1,(Simulation!$C$2:$C$41="Cabins")*(Simulation!$A$2:$A$41=D$3),0))</f>
        <v>2941</v>
      </c>
      <c r="E12" s="21">
        <f t="array" ref="E12">INDEX(Simulation!$I$2:$I$41,MATCH(1,(Simulation!$C$2:$C$41="Cabins")*(Simulation!$A$2:$A$41=E$3),0))</f>
        <v>3105</v>
      </c>
      <c r="F12" s="21">
        <f t="array" ref="F12">INDEX(Simulation!$I$2:$I$41,MATCH(1,(Simulation!$C$2:$C$41="Cabins")*(Simulation!$A$2:$A$41=F$3),0))</f>
        <v>3267</v>
      </c>
      <c r="G12" s="21">
        <f t="array" ref="G12">INDEX(Simulation!$I$2:$I$41,MATCH(1,(Simulation!$C$2:$C$41="Cabins")*(Simulation!$A$2:$A$41=G$3),0))</f>
        <v>3592</v>
      </c>
      <c r="H12" s="21">
        <f t="array" ref="H12">INDEX(Simulation!$I$2:$I$41,MATCH(1,(Simulation!$C$2:$C$41="Cabins")*(Simulation!$A$2:$A$41=H$3),0))</f>
        <v>3915</v>
      </c>
      <c r="I12" s="21">
        <f t="array" ref="I12">INDEX(Simulation!$I$2:$I$41,MATCH(1,(Simulation!$C$2:$C$41="Cabins")*(Simulation!$A$2:$A$41=I$3),0))</f>
        <v>4241</v>
      </c>
      <c r="J12" s="21">
        <f t="array" ref="J12">INDEX(Simulation!$I$2:$I$41,MATCH(1,(Simulation!$C$2:$C$41="Cabins")*(Simulation!$A$2:$A$41=J$3),0))</f>
        <v>4567</v>
      </c>
      <c r="K12" s="24"/>
    </row>
    <row r="13" spans="1:12" x14ac:dyDescent="0.2">
      <c r="A13" s="12" t="s">
        <v>320</v>
      </c>
      <c r="C13" s="21">
        <f>Assumptions!$B$18</f>
        <v>350</v>
      </c>
      <c r="D13" s="21">
        <f>Assumptions!$B$18</f>
        <v>350</v>
      </c>
      <c r="E13" s="21">
        <f>Assumptions!$B$18</f>
        <v>350</v>
      </c>
      <c r="F13" s="21">
        <f>Assumptions!$B$18</f>
        <v>350</v>
      </c>
      <c r="G13" s="21">
        <f>Assumptions!$B$18</f>
        <v>350</v>
      </c>
      <c r="H13" s="21">
        <f>Assumptions!$B$18</f>
        <v>350</v>
      </c>
      <c r="I13" s="21">
        <f>Assumptions!$B$18</f>
        <v>350</v>
      </c>
      <c r="J13" s="21">
        <f>Assumptions!$B$18</f>
        <v>350</v>
      </c>
      <c r="K13" s="24"/>
    </row>
    <row r="14" spans="1:12" ht="27" customHeight="1" x14ac:dyDescent="0.2">
      <c r="A14" s="12" t="s">
        <v>321</v>
      </c>
      <c r="B14" s="91" t="s">
        <v>322</v>
      </c>
      <c r="C14" s="111">
        <f>C12/(SUM('CapEx &amp; Storage'!$E$12:E12)*360)</f>
        <v>9.6458333333333326E-2</v>
      </c>
      <c r="D14" s="111">
        <f>D12/(SUM('CapEx &amp; Storage'!$E$12:F12)*360)</f>
        <v>9.8427041499330653E-2</v>
      </c>
      <c r="E14" s="111">
        <f>E12/(SUM('CapEx &amp; Storage'!$E$12:G12)*360)</f>
        <v>9.583333333333334E-2</v>
      </c>
      <c r="F14" s="111">
        <f>F12/(SUM('CapEx &amp; Storage'!$E$12:H12)*360)</f>
        <v>9.3556701030927836E-2</v>
      </c>
      <c r="G14" s="111">
        <f>G12/(SUM('CapEx &amp; Storage'!$E$12:I12)*360)</f>
        <v>9.9777777777777785E-2</v>
      </c>
      <c r="H14" s="111">
        <f>H12/(SUM('CapEx &amp; Storage'!$E$12:J12)*360)</f>
        <v>9.9770642201834861E-2</v>
      </c>
      <c r="I14" s="111">
        <f>I12/(SUM('CapEx &amp; Storage'!$E$12:K12)*360)</f>
        <v>9.8171296296296298E-2</v>
      </c>
      <c r="J14" s="111">
        <f>J12/(SUM('CapEx &amp; Storage'!$E$12:L12)*360)</f>
        <v>9.9890638670166232E-2</v>
      </c>
      <c r="K14" s="24"/>
      <c r="L14" s="36"/>
    </row>
    <row r="15" spans="1:12" ht="27" customHeight="1" x14ac:dyDescent="0.2">
      <c r="A15" s="9" t="s">
        <v>323</v>
      </c>
      <c r="B15" s="91" t="s">
        <v>324</v>
      </c>
      <c r="C15" s="11">
        <f t="shared" ref="C15:J15" si="0">C12*C13</f>
        <v>972300</v>
      </c>
      <c r="D15" s="11">
        <f t="shared" si="0"/>
        <v>1029350</v>
      </c>
      <c r="E15" s="11">
        <f t="shared" si="0"/>
        <v>1086750</v>
      </c>
      <c r="F15" s="11">
        <f t="shared" si="0"/>
        <v>1143450</v>
      </c>
      <c r="G15" s="11">
        <f t="shared" si="0"/>
        <v>1257200</v>
      </c>
      <c r="H15" s="11">
        <f t="shared" si="0"/>
        <v>1370250</v>
      </c>
      <c r="I15" s="11">
        <f t="shared" si="0"/>
        <v>1484350</v>
      </c>
      <c r="J15" s="11">
        <f t="shared" si="0"/>
        <v>1598450</v>
      </c>
      <c r="K15" s="11">
        <f>SUM(C15:J15)</f>
        <v>9942100</v>
      </c>
    </row>
    <row r="16" spans="1:12" x14ac:dyDescent="0.2">
      <c r="A16" s="1" t="s">
        <v>248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3" x14ac:dyDescent="0.2">
      <c r="A17" s="12" t="s">
        <v>318</v>
      </c>
      <c r="C17" s="21">
        <f>'CapEx &amp; Storage'!E6</f>
        <v>26</v>
      </c>
      <c r="D17" s="21">
        <f>C17+'CapEx &amp; Storage'!F6</f>
        <v>54</v>
      </c>
      <c r="E17" s="21">
        <f>D17+'CapEx &amp; Storage'!G6</f>
        <v>84</v>
      </c>
      <c r="F17" s="21">
        <f>E17+'CapEx &amp; Storage'!H6</f>
        <v>118</v>
      </c>
      <c r="G17" s="21">
        <f>F17+'CapEx &amp; Storage'!I6</f>
        <v>152</v>
      </c>
      <c r="H17" s="21">
        <f>G17+'CapEx &amp; Storage'!J6</f>
        <v>190</v>
      </c>
      <c r="I17" s="21">
        <f>H17+'CapEx &amp; Storage'!K6</f>
        <v>232</v>
      </c>
      <c r="J17" s="21">
        <f>I17+'CapEx &amp; Storage'!L6</f>
        <v>278</v>
      </c>
      <c r="K17" s="24"/>
    </row>
    <row r="18" spans="1:13" ht="27" customHeight="1" x14ac:dyDescent="0.2">
      <c r="A18" s="12" t="s">
        <v>325</v>
      </c>
      <c r="B18" s="91"/>
      <c r="C18" s="21">
        <f t="array" ref="C18">INDEX(Simulation!$I$2:$I$41,MATCH(1,(Simulation!$C$2:$C$41="Buggies")*(Simulation!$A$2:$A$41=C$3),0))</f>
        <v>1570</v>
      </c>
      <c r="D18" s="21">
        <f t="array" ref="D18">INDEX(Simulation!$I$2:$I$41,MATCH(1,(Simulation!$C$2:$C$41="Buggies")*(Simulation!$A$2:$A$41=D$3),0))</f>
        <v>1660</v>
      </c>
      <c r="E18" s="21">
        <f t="array" ref="E18">INDEX(Simulation!$I$2:$I$41,MATCH(1,(Simulation!$C$2:$C$41="Buggies")*(Simulation!$A$2:$A$41=E$3),0))</f>
        <v>1732</v>
      </c>
      <c r="F18" s="21">
        <f t="array" ref="F18">INDEX(Simulation!$I$2:$I$41,MATCH(1,(Simulation!$C$2:$C$41="Buggies")*(Simulation!$A$2:$A$41=F$3),0))</f>
        <v>1822</v>
      </c>
      <c r="G18" s="21">
        <f t="array" ref="G18">INDEX(Simulation!$I$2:$I$41,MATCH(1,(Simulation!$C$2:$C$41="Buggies")*(Simulation!$A$2:$A$41=G$3),0))</f>
        <v>1960</v>
      </c>
      <c r="H18" s="21">
        <f t="array" ref="H18">INDEX(Simulation!$I$2:$I$41,MATCH(1,(Simulation!$C$2:$C$41="Buggies")*(Simulation!$A$2:$A$41=H$3),0))</f>
        <v>2116</v>
      </c>
      <c r="I18" s="21">
        <f t="array" ref="I18">INDEX(Simulation!$I$2:$I$41,MATCH(1,(Simulation!$C$2:$C$41="Buggies")*(Simulation!$A$2:$A$41=I$3),0))</f>
        <v>2266</v>
      </c>
      <c r="J18" s="21">
        <f t="array" ref="J18">INDEX(Simulation!$I$2:$I$41,MATCH(1,(Simulation!$C$2:$C$41="Buggies")*(Simulation!$A$2:$A$41=J$3),0))</f>
        <v>2416</v>
      </c>
      <c r="K18" s="24"/>
    </row>
    <row r="19" spans="1:13" x14ac:dyDescent="0.2">
      <c r="A19" s="12" t="s">
        <v>326</v>
      </c>
      <c r="C19" s="21">
        <f>Assumptions!$B$19</f>
        <v>700</v>
      </c>
      <c r="D19" s="21">
        <f>Assumptions!$B$19</f>
        <v>700</v>
      </c>
      <c r="E19" s="21">
        <f>Assumptions!$B$19</f>
        <v>700</v>
      </c>
      <c r="F19" s="21">
        <f>Assumptions!$B$19</f>
        <v>700</v>
      </c>
      <c r="G19" s="21">
        <f>Assumptions!$B$19</f>
        <v>700</v>
      </c>
      <c r="H19" s="21">
        <f>Assumptions!$B$19</f>
        <v>700</v>
      </c>
      <c r="I19" s="21">
        <f>Assumptions!$B$19</f>
        <v>700</v>
      </c>
      <c r="J19" s="21">
        <f>Assumptions!$B$19</f>
        <v>700</v>
      </c>
      <c r="K19" s="24"/>
    </row>
    <row r="20" spans="1:13" ht="27" customHeight="1" x14ac:dyDescent="0.2">
      <c r="A20" s="12" t="s">
        <v>321</v>
      </c>
      <c r="B20" s="91" t="s">
        <v>322</v>
      </c>
      <c r="C20" s="111">
        <f>C18/(SUM('CapEx &amp; Storage'!$E$13:E13)*360)</f>
        <v>0.16773504273504272</v>
      </c>
      <c r="D20" s="111">
        <f>D18/(SUM('CapEx &amp; Storage'!$E$13:F13)*360)</f>
        <v>0.16468253968253968</v>
      </c>
      <c r="E20" s="111">
        <f>E18/(SUM('CapEx &amp; Storage'!$E$13:G13)*360)</f>
        <v>0.16037037037037036</v>
      </c>
      <c r="F20" s="111">
        <f>F18/(SUM('CapEx &amp; Storage'!$E$13:H13)*360)</f>
        <v>0.1488562091503268</v>
      </c>
      <c r="G20" s="111">
        <f>G18/(SUM('CapEx &amp; Storage'!$E$13:I13)*360)</f>
        <v>0.16013071895424835</v>
      </c>
      <c r="H20" s="111">
        <f>H18/(SUM('CapEx &amp; Storage'!$E$13:J13)*360)</f>
        <v>0.15467836257309941</v>
      </c>
      <c r="I20" s="111">
        <f>I18/(SUM('CapEx &amp; Storage'!$E$13:K13)*360)</f>
        <v>0.14986772486772487</v>
      </c>
      <c r="J20" s="111">
        <f>J18/(SUM('CapEx &amp; Storage'!$E$13:L13)*360)</f>
        <v>0.14589371980676327</v>
      </c>
      <c r="K20" s="24"/>
    </row>
    <row r="21" spans="1:13" ht="27" customHeight="1" x14ac:dyDescent="0.2">
      <c r="A21" s="9" t="s">
        <v>327</v>
      </c>
      <c r="B21" s="91" t="s">
        <v>328</v>
      </c>
      <c r="C21" s="11">
        <f t="shared" ref="C21:J21" si="1">C19*C18</f>
        <v>1099000</v>
      </c>
      <c r="D21" s="11">
        <f t="shared" si="1"/>
        <v>1162000</v>
      </c>
      <c r="E21" s="11">
        <f t="shared" si="1"/>
        <v>1212400</v>
      </c>
      <c r="F21" s="11">
        <f t="shared" si="1"/>
        <v>1275400</v>
      </c>
      <c r="G21" s="11">
        <f t="shared" si="1"/>
        <v>1372000</v>
      </c>
      <c r="H21" s="11">
        <f t="shared" si="1"/>
        <v>1481200</v>
      </c>
      <c r="I21" s="11">
        <f t="shared" si="1"/>
        <v>1586200</v>
      </c>
      <c r="J21" s="11">
        <f t="shared" si="1"/>
        <v>1691200</v>
      </c>
      <c r="K21" s="11">
        <f>SUM(C21:J21)</f>
        <v>10879400</v>
      </c>
    </row>
    <row r="22" spans="1:13" x14ac:dyDescent="0.2">
      <c r="A22" s="1" t="s">
        <v>250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3" x14ac:dyDescent="0.2">
      <c r="A23" s="12" t="s">
        <v>318</v>
      </c>
      <c r="C23" s="21">
        <f>'CapEx &amp; Storage'!E7</f>
        <v>2300</v>
      </c>
      <c r="D23" s="21">
        <f>C23+'CapEx &amp; Storage'!F7</f>
        <v>4708</v>
      </c>
      <c r="E23" s="21">
        <f>D23+'CapEx &amp; Storage'!G7</f>
        <v>7452</v>
      </c>
      <c r="F23" s="21">
        <f>E23+'CapEx &amp; Storage'!H7</f>
        <v>10402</v>
      </c>
      <c r="G23" s="21">
        <f>F23+'CapEx &amp; Storage'!I7</f>
        <v>13496</v>
      </c>
      <c r="H23" s="21">
        <f>G23+'CapEx &amp; Storage'!J7</f>
        <v>17054</v>
      </c>
      <c r="I23" s="21">
        <f>H23+'CapEx &amp; Storage'!K7</f>
        <v>21004</v>
      </c>
      <c r="J23" s="21">
        <f>I23+'CapEx &amp; Storage'!L7</f>
        <v>25268</v>
      </c>
      <c r="K23" s="24"/>
    </row>
    <row r="24" spans="1:13" ht="40" customHeight="1" x14ac:dyDescent="0.2">
      <c r="A24" s="12" t="s">
        <v>329</v>
      </c>
      <c r="B24" s="91" t="s">
        <v>416</v>
      </c>
      <c r="C24" s="21">
        <f t="array" ref="C24">INDEX(Simulation!$I$2:$I$41,MATCH(1,(Simulation!$C$2:$C$41="Barriers")*(Simulation!$A$2:$A$41=C$3),0))</f>
        <v>124560</v>
      </c>
      <c r="D24" s="21">
        <f t="array" ref="D24">INDEX(Simulation!$I$2:$I$41,MATCH(1,(Simulation!$C$2:$C$41="Barriers")*(Simulation!$A$2:$A$41=D$3),0))</f>
        <v>132060</v>
      </c>
      <c r="E24" s="21">
        <f t="array" ref="E24">INDEX(Simulation!$I$2:$I$41,MATCH(1,(Simulation!$C$2:$C$41="Barriers")*(Simulation!$A$2:$A$41=E$3),0))</f>
        <v>140280</v>
      </c>
      <c r="F24" s="21">
        <f t="array" ref="F24">INDEX(Simulation!$I$2:$I$41,MATCH(1,(Simulation!$C$2:$C$41="Barriers")*(Simulation!$A$2:$A$41=F$3),0))</f>
        <v>147060</v>
      </c>
      <c r="G24" s="21">
        <f t="array" ref="G24">INDEX(Simulation!$I$2:$I$41,MATCH(1,(Simulation!$C$2:$C$41="Barriers")*(Simulation!$A$2:$A$41=G$3),0))</f>
        <v>162780</v>
      </c>
      <c r="H24" s="21">
        <f t="array" ref="H24">INDEX(Simulation!$I$2:$I$41,MATCH(1,(Simulation!$C$2:$C$41="Barriers")*(Simulation!$A$2:$A$41=H$3),0))</f>
        <v>177420</v>
      </c>
      <c r="I24" s="21">
        <f t="array" ref="I24">INDEX(Simulation!$I$2:$I$41,MATCH(1,(Simulation!$C$2:$C$41="Barriers")*(Simulation!$A$2:$A$41=I$3),0))</f>
        <v>192420</v>
      </c>
      <c r="J24" s="21">
        <f t="array" ref="J24">INDEX(Simulation!$I$2:$I$41,MATCH(1,(Simulation!$C$2:$C$41="Barriers")*(Simulation!$A$2:$A$41=J$3),0))</f>
        <v>207780</v>
      </c>
      <c r="K24" s="24"/>
    </row>
    <row r="25" spans="1:13" x14ac:dyDescent="0.2">
      <c r="A25" s="12" t="s">
        <v>330</v>
      </c>
      <c r="C25" s="94">
        <f>Assumptions!$B$20</f>
        <v>0.4</v>
      </c>
      <c r="D25" s="94">
        <f>Assumptions!$B$20</f>
        <v>0.4</v>
      </c>
      <c r="E25" s="94">
        <f>Assumptions!$B$20</f>
        <v>0.4</v>
      </c>
      <c r="F25" s="94">
        <f>Assumptions!$B$20</f>
        <v>0.4</v>
      </c>
      <c r="G25" s="94">
        <f>Assumptions!$B$20</f>
        <v>0.4</v>
      </c>
      <c r="H25" s="94">
        <f>Assumptions!$B$20</f>
        <v>0.4</v>
      </c>
      <c r="I25" s="94">
        <f>Assumptions!$B$20</f>
        <v>0.4</v>
      </c>
      <c r="J25" s="94">
        <f>Assumptions!$B$20</f>
        <v>0.4</v>
      </c>
      <c r="K25" s="24"/>
    </row>
    <row r="26" spans="1:13" ht="27" customHeight="1" x14ac:dyDescent="0.2">
      <c r="A26" s="12" t="s">
        <v>321</v>
      </c>
      <c r="B26" s="91" t="s">
        <v>322</v>
      </c>
      <c r="C26" s="111">
        <f>C24/(SUM('CapEx &amp; Storage'!$E$14:E14)*360)</f>
        <v>0.15043478260869564</v>
      </c>
      <c r="D26" s="111">
        <f>D24/(SUM('CapEx &amp; Storage'!$E$14:F14)*360)</f>
        <v>0.15233942414174972</v>
      </c>
      <c r="E26" s="111">
        <f>E24/(SUM('CapEx &amp; Storage'!$E$14:G14)*360)</f>
        <v>0.14200680272108843</v>
      </c>
      <c r="F26" s="111">
        <f>F24/(SUM('CapEx &amp; Storage'!$E$14:H14)*360)</f>
        <v>0.13847457627118645</v>
      </c>
      <c r="G26" s="111">
        <f>G24/(SUM('CapEx &amp; Storage'!$E$14:I14)*360)</f>
        <v>0.14614307261366086</v>
      </c>
      <c r="H26" s="111">
        <f>H24/(SUM('CapEx &amp; Storage'!$E$14:J14)*360)</f>
        <v>0.13851414652426458</v>
      </c>
      <c r="I26" s="111">
        <f>I24/(SUM('CapEx &amp; Storage'!$E$14:K14)*360)</f>
        <v>0.13531645569620254</v>
      </c>
      <c r="J26" s="111">
        <f>J24/(SUM('CapEx &amp; Storage'!$E$14:L14)*360)</f>
        <v>0.13535803627267043</v>
      </c>
      <c r="K26" s="24"/>
    </row>
    <row r="27" spans="1:13" ht="27" customHeight="1" x14ac:dyDescent="0.2">
      <c r="A27" s="9" t="s">
        <v>331</v>
      </c>
      <c r="B27" s="91" t="s">
        <v>332</v>
      </c>
      <c r="C27" s="11">
        <f t="shared" ref="C27:J27" si="2">C25*C24</f>
        <v>49824</v>
      </c>
      <c r="D27" s="11">
        <f t="shared" si="2"/>
        <v>52824</v>
      </c>
      <c r="E27" s="11">
        <f t="shared" si="2"/>
        <v>56112</v>
      </c>
      <c r="F27" s="11">
        <f t="shared" si="2"/>
        <v>58824</v>
      </c>
      <c r="G27" s="11">
        <f t="shared" si="2"/>
        <v>65112</v>
      </c>
      <c r="H27" s="11">
        <f t="shared" si="2"/>
        <v>70968</v>
      </c>
      <c r="I27" s="11">
        <f t="shared" si="2"/>
        <v>76968</v>
      </c>
      <c r="J27" s="11">
        <f t="shared" si="2"/>
        <v>83112</v>
      </c>
      <c r="K27" s="11">
        <f>SUM(C27:J27)</f>
        <v>513744</v>
      </c>
    </row>
    <row r="28" spans="1:13" x14ac:dyDescent="0.2">
      <c r="A28" s="1" t="s">
        <v>252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3" x14ac:dyDescent="0.2">
      <c r="A29" s="12" t="s">
        <v>318</v>
      </c>
      <c r="C29" s="21">
        <f>'CapEx &amp; Storage'!E8</f>
        <v>2960</v>
      </c>
      <c r="D29" s="21">
        <f>C29+'CapEx &amp; Storage'!F8</f>
        <v>5970</v>
      </c>
      <c r="E29" s="21">
        <f>D29+'CapEx &amp; Storage'!G8</f>
        <v>9200</v>
      </c>
      <c r="F29" s="21">
        <f>E29+'CapEx &amp; Storage'!H8</f>
        <v>12640</v>
      </c>
      <c r="G29" s="21">
        <f>F29+'CapEx &amp; Storage'!I8</f>
        <v>16230</v>
      </c>
      <c r="H29" s="21">
        <f>G29+'CapEx &amp; Storage'!J8</f>
        <v>20110</v>
      </c>
      <c r="I29" s="21">
        <f>H29+'CapEx &amp; Storage'!K8</f>
        <v>24450</v>
      </c>
      <c r="J29" s="21">
        <f>I29+'CapEx &amp; Storage'!L8</f>
        <v>28940</v>
      </c>
      <c r="K29" s="24"/>
    </row>
    <row r="30" spans="1:13" ht="40" customHeight="1" x14ac:dyDescent="0.2">
      <c r="A30" s="12" t="s">
        <v>333</v>
      </c>
      <c r="B30" s="91" t="s">
        <v>416</v>
      </c>
      <c r="C30" s="21">
        <f t="array" ref="C30">INDEX(Simulation!$I$2:$I$41,MATCH(1,(Simulation!$C$2:$C$41="Fencing")*(Simulation!$A$2:$A$41=C$3),0))</f>
        <v>108600</v>
      </c>
      <c r="D30" s="21">
        <f t="array" ref="D30">INDEX(Simulation!$I$2:$I$41,MATCH(1,(Simulation!$C$2:$C$41="Fencing")*(Simulation!$A$2:$A$41=D$3),0))</f>
        <v>114000</v>
      </c>
      <c r="E30" s="21">
        <f t="array" ref="E30">INDEX(Simulation!$I$2:$I$41,MATCH(1,(Simulation!$C$2:$C$41="Fencing")*(Simulation!$A$2:$A$41=E$3),0))</f>
        <v>119760</v>
      </c>
      <c r="F30" s="21">
        <f t="array" ref="F30">INDEX(Simulation!$I$2:$I$41,MATCH(1,(Simulation!$C$2:$C$41="Fencing")*(Simulation!$A$2:$A$41=F$3),0))</f>
        <v>125760</v>
      </c>
      <c r="G30" s="21">
        <f t="array" ref="G30">INDEX(Simulation!$I$2:$I$41,MATCH(1,(Simulation!$C$2:$C$41="Fencing")*(Simulation!$A$2:$A$41=G$3),0))</f>
        <v>138000</v>
      </c>
      <c r="H30" s="21">
        <f t="array" ref="H30">INDEX(Simulation!$I$2:$I$41,MATCH(1,(Simulation!$C$2:$C$41="Fencing")*(Simulation!$A$2:$A$41=H$3),0))</f>
        <v>149760</v>
      </c>
      <c r="I30" s="21">
        <f t="array" ref="I30">INDEX(Simulation!$I$2:$I$41,MATCH(1,(Simulation!$C$2:$C$41="Fencing")*(Simulation!$A$2:$A$41=I$3),0))</f>
        <v>161760</v>
      </c>
      <c r="J30" s="21">
        <f t="array" ref="J30">INDEX(Simulation!$I$2:$I$41,MATCH(1,(Simulation!$C$2:$C$41="Fencing")*(Simulation!$A$2:$A$41=J$3),0))</f>
        <v>173760</v>
      </c>
      <c r="K30" s="24"/>
    </row>
    <row r="31" spans="1:13" x14ac:dyDescent="0.2">
      <c r="A31" s="12" t="s">
        <v>334</v>
      </c>
      <c r="C31" s="94">
        <f>Assumptions!$B$21</f>
        <v>1.8333333333333333</v>
      </c>
      <c r="D31" s="94">
        <f>Assumptions!$B$21</f>
        <v>1.8333333333333333</v>
      </c>
      <c r="E31" s="94">
        <f>Assumptions!$B$21</f>
        <v>1.8333333333333333</v>
      </c>
      <c r="F31" s="94">
        <f>Assumptions!$B$21</f>
        <v>1.8333333333333333</v>
      </c>
      <c r="G31" s="94">
        <f>Assumptions!$B$21</f>
        <v>1.8333333333333333</v>
      </c>
      <c r="H31" s="94">
        <f>Assumptions!$B$21</f>
        <v>1.8333333333333333</v>
      </c>
      <c r="I31" s="94">
        <f>Assumptions!$B$21</f>
        <v>1.8333333333333333</v>
      </c>
      <c r="J31" s="94">
        <f>Assumptions!$B$21</f>
        <v>1.8333333333333333</v>
      </c>
      <c r="K31" s="24"/>
    </row>
    <row r="32" spans="1:13" ht="27" customHeight="1" x14ac:dyDescent="0.2">
      <c r="A32" s="12" t="s">
        <v>321</v>
      </c>
      <c r="B32" s="91" t="s">
        <v>322</v>
      </c>
      <c r="C32" s="111">
        <f>C30/(SUM('CapEx &amp; Storage'!$E$15:E15)*360)</f>
        <v>0.10191441441441441</v>
      </c>
      <c r="D32" s="111">
        <f>D30/(SUM('CapEx &amp; Storage'!$E$15:F15)*360)</f>
        <v>0.10520487264673312</v>
      </c>
      <c r="E32" s="111">
        <f>E30/(SUM('CapEx &amp; Storage'!$E$15:G15)*360)</f>
        <v>0.10299277605779154</v>
      </c>
      <c r="F32" s="111">
        <f>F30/(SUM('CapEx &amp; Storage'!$E$15:H15)*360)</f>
        <v>0.10155038759689923</v>
      </c>
      <c r="G32" s="111">
        <f>G30/(SUM('CapEx &amp; Storage'!$E$15:I15)*360)</f>
        <v>0.10677808727948004</v>
      </c>
      <c r="H32" s="111">
        <f>H30/(SUM('CapEx &amp; Storage'!$E$15:J15)*360)</f>
        <v>0.10721649484536082</v>
      </c>
      <c r="I32" s="111">
        <f>I30/(SUM('CapEx &amp; Storage'!$E$15:K15)*360)</f>
        <v>0.10353302611367128</v>
      </c>
      <c r="J32" s="111">
        <f>J30/(SUM('CapEx &amp; Storage'!$E$15:L15)*360)</f>
        <v>0.1074981440237565</v>
      </c>
      <c r="K32" s="24"/>
      <c r="M32" s="36"/>
    </row>
    <row r="33" spans="1:19" ht="27" customHeight="1" x14ac:dyDescent="0.2">
      <c r="A33" s="9" t="s">
        <v>335</v>
      </c>
      <c r="B33" s="91" t="s">
        <v>336</v>
      </c>
      <c r="C33" s="11">
        <f t="shared" ref="C33:J33" si="3">C31*C30</f>
        <v>199100</v>
      </c>
      <c r="D33" s="11">
        <f t="shared" si="3"/>
        <v>209000</v>
      </c>
      <c r="E33" s="11">
        <f t="shared" si="3"/>
        <v>219560</v>
      </c>
      <c r="F33" s="11">
        <f t="shared" si="3"/>
        <v>230560</v>
      </c>
      <c r="G33" s="11">
        <f t="shared" si="3"/>
        <v>253000</v>
      </c>
      <c r="H33" s="11">
        <f t="shared" si="3"/>
        <v>274560</v>
      </c>
      <c r="I33" s="11">
        <f t="shared" si="3"/>
        <v>296560</v>
      </c>
      <c r="J33" s="11">
        <f t="shared" si="3"/>
        <v>318560</v>
      </c>
      <c r="K33" s="11">
        <f>SUM(C33:J33)</f>
        <v>2000900</v>
      </c>
    </row>
    <row r="34" spans="1:19" x14ac:dyDescent="0.2">
      <c r="A34" s="1" t="s">
        <v>337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9" x14ac:dyDescent="0.2">
      <c r="A35" s="12" t="s">
        <v>318</v>
      </c>
      <c r="C35" s="21">
        <f>'CapEx &amp; Storage'!E9</f>
        <v>740</v>
      </c>
      <c r="D35" s="21">
        <f>C35+'CapEx &amp; Storage'!F9</f>
        <v>1480</v>
      </c>
      <c r="E35" s="21">
        <f>D35+'CapEx &amp; Storage'!G9</f>
        <v>2320</v>
      </c>
      <c r="F35" s="21">
        <f>E35+'CapEx &amp; Storage'!H9</f>
        <v>3200</v>
      </c>
      <c r="G35" s="21">
        <f>F35+'CapEx &amp; Storage'!I9</f>
        <v>4118</v>
      </c>
      <c r="H35" s="21">
        <f>G35+'CapEx &amp; Storage'!J9</f>
        <v>5078</v>
      </c>
      <c r="I35" s="21">
        <f>H35+'CapEx &amp; Storage'!K9</f>
        <v>6118</v>
      </c>
      <c r="J35" s="21">
        <f>I35+'CapEx &amp; Storage'!L9</f>
        <v>7198</v>
      </c>
      <c r="K35" s="24"/>
    </row>
    <row r="36" spans="1:19" ht="40" customHeight="1" x14ac:dyDescent="0.2">
      <c r="A36" s="12" t="s">
        <v>338</v>
      </c>
      <c r="B36" s="91" t="s">
        <v>416</v>
      </c>
      <c r="C36" s="21">
        <f t="array" ref="C36">INDEX(Simulation!$I$2:$I$41,MATCH(1,(Simulation!$C$2:$C$41="Flooring")*(Simulation!$A$2:$A$41=C$3),0))</f>
        <v>36540</v>
      </c>
      <c r="D36" s="21">
        <f t="array" ref="D36">INDEX(Simulation!$I$2:$I$41,MATCH(1,(Simulation!$C$2:$C$41="Flooring")*(Simulation!$A$2:$A$41=D$3),0))</f>
        <v>39540</v>
      </c>
      <c r="E36" s="21">
        <f t="array" ref="E36">INDEX(Simulation!$I$2:$I$41,MATCH(1,(Simulation!$C$2:$C$41="Flooring")*(Simulation!$A$2:$A$41=E$3),0))</f>
        <v>42540</v>
      </c>
      <c r="F36" s="21">
        <f t="array" ref="F36">INDEX(Simulation!$I$2:$I$41,MATCH(1,(Simulation!$C$2:$C$41="Flooring")*(Simulation!$A$2:$A$41=F$3),0))</f>
        <v>50400</v>
      </c>
      <c r="G36" s="21">
        <f t="array" ref="G36">INDEX(Simulation!$I$2:$I$41,MATCH(1,(Simulation!$C$2:$C$41="Flooring")*(Simulation!$A$2:$A$41=G$3),0))</f>
        <v>48540</v>
      </c>
      <c r="H36" s="21">
        <f t="array" ref="H36">INDEX(Simulation!$I$2:$I$41,MATCH(1,(Simulation!$C$2:$C$41="Flooring")*(Simulation!$A$2:$A$41=H$3),0))</f>
        <v>54540</v>
      </c>
      <c r="I36" s="21">
        <f t="array" ref="I36">INDEX(Simulation!$I$2:$I$41,MATCH(1,(Simulation!$C$2:$C$41="Flooring")*(Simulation!$A$2:$A$41=I$3),0))</f>
        <v>57000</v>
      </c>
      <c r="J36" s="21">
        <f t="array" ref="J36">INDEX(Simulation!$I$2:$I$41,MATCH(1,(Simulation!$C$2:$C$41="Flooring")*(Simulation!$A$2:$A$41=J$3),0))</f>
        <v>60000</v>
      </c>
      <c r="K36" s="24"/>
    </row>
    <row r="37" spans="1:19" x14ac:dyDescent="0.2">
      <c r="A37" s="12" t="s">
        <v>339</v>
      </c>
      <c r="C37" s="94">
        <f>Assumptions!$B$22</f>
        <v>30</v>
      </c>
      <c r="D37" s="94">
        <f>Assumptions!$B$22</f>
        <v>30</v>
      </c>
      <c r="E37" s="94">
        <f>Assumptions!$B$22</f>
        <v>30</v>
      </c>
      <c r="F37" s="94">
        <f>Assumptions!$B$22</f>
        <v>30</v>
      </c>
      <c r="G37" s="94">
        <f>Assumptions!$B$22</f>
        <v>30</v>
      </c>
      <c r="H37" s="94">
        <f>Assumptions!$B$22</f>
        <v>30</v>
      </c>
      <c r="I37" s="94">
        <f>Assumptions!$B$22</f>
        <v>30</v>
      </c>
      <c r="J37" s="94">
        <f>Assumptions!$B$22</f>
        <v>30</v>
      </c>
      <c r="K37" s="24"/>
    </row>
    <row r="38" spans="1:19" ht="27" customHeight="1" x14ac:dyDescent="0.2">
      <c r="A38" s="12" t="s">
        <v>321</v>
      </c>
      <c r="B38" s="91" t="s">
        <v>322</v>
      </c>
      <c r="C38" s="111">
        <f>C36/(SUM('CapEx &amp; Storage'!$E$16:E16)*360)</f>
        <v>0.13716216216216215</v>
      </c>
      <c r="D38" s="111">
        <f>D36/(SUM('CapEx &amp; Storage'!$E$16:F16)*360)</f>
        <v>0.14842342342342343</v>
      </c>
      <c r="E38" s="111">
        <f>E36/(SUM('CapEx &amp; Storage'!$E$16:G16)*360)</f>
        <v>0.14067460317460317</v>
      </c>
      <c r="F38" s="111">
        <f>F36/(SUM('CapEx &amp; Storage'!$E$16:H16)*360)</f>
        <v>0.15909090909090909</v>
      </c>
      <c r="G38" s="111">
        <f>G36/(SUM('CapEx &amp; Storage'!$E$16:I16)*360)</f>
        <v>0.14687726942628904</v>
      </c>
      <c r="H38" s="111">
        <f>H36/(SUM('CapEx &amp; Storage'!$E$16:J16)*360)</f>
        <v>0.15781249999999999</v>
      </c>
      <c r="I38" s="111">
        <f>I36/(SUM('CapEx &amp; Storage'!$E$16:K16)*360)</f>
        <v>0.15224358974358973</v>
      </c>
      <c r="J38" s="111">
        <f>J36/(SUM('CapEx &amp; Storage'!$E$16:L16)*360)</f>
        <v>0.15432098765432098</v>
      </c>
      <c r="K38" s="24"/>
    </row>
    <row r="39" spans="1:19" ht="27" customHeight="1" x14ac:dyDescent="0.2">
      <c r="A39" s="9" t="s">
        <v>340</v>
      </c>
      <c r="B39" s="91" t="s">
        <v>341</v>
      </c>
      <c r="C39" s="11">
        <f t="shared" ref="C39:J39" si="4">C37*C36</f>
        <v>1096200</v>
      </c>
      <c r="D39" s="11">
        <f t="shared" si="4"/>
        <v>1186200</v>
      </c>
      <c r="E39" s="11">
        <f t="shared" si="4"/>
        <v>1276200</v>
      </c>
      <c r="F39" s="11">
        <f t="shared" si="4"/>
        <v>1512000</v>
      </c>
      <c r="G39" s="11">
        <f t="shared" si="4"/>
        <v>1456200</v>
      </c>
      <c r="H39" s="11">
        <f t="shared" si="4"/>
        <v>1636200</v>
      </c>
      <c r="I39" s="11">
        <f t="shared" si="4"/>
        <v>1710000</v>
      </c>
      <c r="J39" s="11">
        <f t="shared" si="4"/>
        <v>1800000</v>
      </c>
      <c r="K39" s="11">
        <f>SUM(C39:J39)</f>
        <v>11673000</v>
      </c>
    </row>
    <row r="40" spans="1:19" ht="16" customHeight="1" thickBot="1" x14ac:dyDescent="0.25">
      <c r="A40" s="15" t="s">
        <v>342</v>
      </c>
      <c r="B40" s="16"/>
      <c r="C40" s="17">
        <f t="shared" ref="C40:K40" si="5">SUM(C15,C21,C27,C33,C39)</f>
        <v>3416424</v>
      </c>
      <c r="D40" s="17">
        <f t="shared" si="5"/>
        <v>3639374</v>
      </c>
      <c r="E40" s="17">
        <f t="shared" si="5"/>
        <v>3851022</v>
      </c>
      <c r="F40" s="17">
        <f t="shared" si="5"/>
        <v>4220234</v>
      </c>
      <c r="G40" s="17">
        <f t="shared" si="5"/>
        <v>4403512</v>
      </c>
      <c r="H40" s="17">
        <f t="shared" si="5"/>
        <v>4833178</v>
      </c>
      <c r="I40" s="17">
        <f t="shared" si="5"/>
        <v>5154078</v>
      </c>
      <c r="J40" s="17">
        <f t="shared" si="5"/>
        <v>5491322</v>
      </c>
      <c r="K40" s="17">
        <f t="shared" si="5"/>
        <v>35009144</v>
      </c>
      <c r="S40" s="87"/>
    </row>
    <row r="54" spans="18:18" x14ac:dyDescent="0.2">
      <c r="R54" s="86"/>
    </row>
    <row r="55" spans="18:18" x14ac:dyDescent="0.2">
      <c r="R55" s="61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/>
  </sheetPr>
  <dimension ref="A1:K73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38.83203125" bestFit="1" customWidth="1"/>
    <col min="2" max="2" width="29.5" customWidth="1"/>
    <col min="3" max="11" width="15" customWidth="1"/>
  </cols>
  <sheetData>
    <row r="1" spans="1:11" ht="24" customHeight="1" x14ac:dyDescent="0.2">
      <c r="A1" s="35" t="s">
        <v>343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5" customHeight="1" x14ac:dyDescent="0.2">
      <c r="A2" s="45"/>
      <c r="B2" s="46" t="s">
        <v>312</v>
      </c>
      <c r="C2" s="105" t="s">
        <v>133</v>
      </c>
      <c r="D2" s="105" t="s">
        <v>134</v>
      </c>
      <c r="E2" s="105" t="s">
        <v>135</v>
      </c>
      <c r="F2" s="105" t="s">
        <v>136</v>
      </c>
      <c r="G2" s="105" t="s">
        <v>137</v>
      </c>
      <c r="H2" s="105" t="s">
        <v>138</v>
      </c>
      <c r="I2" s="105" t="s">
        <v>139</v>
      </c>
      <c r="J2" s="105" t="s">
        <v>140</v>
      </c>
      <c r="K2" s="105" t="s">
        <v>313</v>
      </c>
    </row>
    <row r="3" spans="1:11" ht="15" customHeight="1" x14ac:dyDescent="0.2">
      <c r="A3" s="1" t="s">
        <v>344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 customHeight="1" x14ac:dyDescent="0.2">
      <c r="A4" s="12" t="s">
        <v>345</v>
      </c>
      <c r="B4" s="3" t="s">
        <v>346</v>
      </c>
      <c r="C4" s="21">
        <f>'CapEx &amp; Storage'!E12</f>
        <v>80</v>
      </c>
      <c r="D4" s="21">
        <f>C4+'CapEx &amp; Storage'!F12</f>
        <v>83</v>
      </c>
      <c r="E4" s="21">
        <f>D4+'CapEx &amp; Storage'!G12</f>
        <v>90</v>
      </c>
      <c r="F4" s="21">
        <f>E4+'CapEx &amp; Storage'!H12</f>
        <v>97</v>
      </c>
      <c r="G4" s="21">
        <f>F4+'CapEx &amp; Storage'!I12</f>
        <v>100</v>
      </c>
      <c r="H4" s="21">
        <f>G4+'CapEx &amp; Storage'!J12</f>
        <v>109</v>
      </c>
      <c r="I4" s="21">
        <f>H4+'CapEx &amp; Storage'!K12</f>
        <v>120</v>
      </c>
      <c r="J4" s="21">
        <f>I4+'CapEx &amp; Storage'!L12</f>
        <v>127</v>
      </c>
      <c r="K4" s="145" t="s">
        <v>347</v>
      </c>
    </row>
    <row r="5" spans="1:11" ht="15" customHeight="1" x14ac:dyDescent="0.2">
      <c r="A5" s="12" t="s">
        <v>348</v>
      </c>
      <c r="B5" s="3" t="s">
        <v>346</v>
      </c>
      <c r="C5" s="21">
        <f>'CapEx &amp; Storage'!E13</f>
        <v>26</v>
      </c>
      <c r="D5" s="21">
        <f>C5+'CapEx &amp; Storage'!F13</f>
        <v>28</v>
      </c>
      <c r="E5" s="21">
        <f>D5+'CapEx &amp; Storage'!G13</f>
        <v>30</v>
      </c>
      <c r="F5" s="21">
        <f>E5+'CapEx &amp; Storage'!H13</f>
        <v>34</v>
      </c>
      <c r="G5" s="21">
        <f>F5+'CapEx &amp; Storage'!I13</f>
        <v>34</v>
      </c>
      <c r="H5" s="21">
        <f>G5+'CapEx &amp; Storage'!J13</f>
        <v>38</v>
      </c>
      <c r="I5" s="21">
        <f>H5+'CapEx &amp; Storage'!K13</f>
        <v>42</v>
      </c>
      <c r="J5" s="21">
        <f>I5+'CapEx &amp; Storage'!L13</f>
        <v>46</v>
      </c>
      <c r="K5" s="145" t="s">
        <v>347</v>
      </c>
    </row>
    <row r="6" spans="1:11" ht="15" customHeight="1" x14ac:dyDescent="0.2">
      <c r="A6" s="12" t="s">
        <v>349</v>
      </c>
      <c r="B6" s="3" t="s">
        <v>346</v>
      </c>
      <c r="C6" s="21">
        <f>'CapEx &amp; Storage'!E14</f>
        <v>2300</v>
      </c>
      <c r="D6" s="21">
        <f>C6+'CapEx &amp; Storage'!F14</f>
        <v>2408</v>
      </c>
      <c r="E6" s="21">
        <f>D6+'CapEx &amp; Storage'!G14</f>
        <v>2744</v>
      </c>
      <c r="F6" s="21">
        <f>E6+'CapEx &amp; Storage'!H14</f>
        <v>2950</v>
      </c>
      <c r="G6" s="21">
        <f>F6+'CapEx &amp; Storage'!I14</f>
        <v>3094</v>
      </c>
      <c r="H6" s="21">
        <f>G6+'CapEx &amp; Storage'!J14</f>
        <v>3558</v>
      </c>
      <c r="I6" s="21">
        <f>H6+'CapEx &amp; Storage'!K14</f>
        <v>3950</v>
      </c>
      <c r="J6" s="21">
        <f>I6+'CapEx &amp; Storage'!L14</f>
        <v>4264</v>
      </c>
      <c r="K6" s="145" t="s">
        <v>347</v>
      </c>
    </row>
    <row r="7" spans="1:11" ht="16" customHeight="1" x14ac:dyDescent="0.2">
      <c r="A7" s="12" t="s">
        <v>350</v>
      </c>
      <c r="B7" s="3" t="s">
        <v>346</v>
      </c>
      <c r="C7" s="21">
        <f>'CapEx &amp; Storage'!E15</f>
        <v>2960</v>
      </c>
      <c r="D7" s="21">
        <f>C7+'CapEx &amp; Storage'!F15</f>
        <v>3010</v>
      </c>
      <c r="E7" s="21">
        <f>D7+'CapEx &amp; Storage'!G15</f>
        <v>3230</v>
      </c>
      <c r="F7" s="21">
        <f>E7+'CapEx &amp; Storage'!H15</f>
        <v>3440</v>
      </c>
      <c r="G7" s="21">
        <f>F7+'CapEx &amp; Storage'!I15</f>
        <v>3590</v>
      </c>
      <c r="H7" s="21">
        <f>G7+'CapEx &amp; Storage'!J15</f>
        <v>3880</v>
      </c>
      <c r="I7" s="21">
        <f>H7+'CapEx &amp; Storage'!K15</f>
        <v>4340</v>
      </c>
      <c r="J7" s="21">
        <f>I7+'CapEx &amp; Storage'!L15</f>
        <v>4490</v>
      </c>
      <c r="K7" s="145" t="s">
        <v>347</v>
      </c>
    </row>
    <row r="8" spans="1:11" ht="16" customHeight="1" x14ac:dyDescent="0.2">
      <c r="A8" s="12" t="s">
        <v>351</v>
      </c>
      <c r="B8" s="3" t="s">
        <v>346</v>
      </c>
      <c r="C8" s="21">
        <f>'CapEx &amp; Storage'!E16</f>
        <v>740</v>
      </c>
      <c r="D8" s="21">
        <f>C8+'CapEx &amp; Storage'!F16</f>
        <v>740</v>
      </c>
      <c r="E8" s="21">
        <f>D8+'CapEx &amp; Storage'!G16</f>
        <v>840</v>
      </c>
      <c r="F8" s="21">
        <f>E8+'CapEx &amp; Storage'!H16</f>
        <v>880</v>
      </c>
      <c r="G8" s="21">
        <f>F8+'CapEx &amp; Storage'!I16</f>
        <v>918</v>
      </c>
      <c r="H8" s="21">
        <f>G8+'CapEx &amp; Storage'!J16</f>
        <v>960</v>
      </c>
      <c r="I8" s="21">
        <f>H8+'CapEx &amp; Storage'!K16</f>
        <v>1040</v>
      </c>
      <c r="J8" s="21">
        <f>I8+'CapEx &amp; Storage'!L16</f>
        <v>1080</v>
      </c>
      <c r="K8" s="145" t="s">
        <v>347</v>
      </c>
    </row>
    <row r="9" spans="1:11" x14ac:dyDescent="0.2">
      <c r="A9" s="12"/>
      <c r="B9" s="3"/>
      <c r="C9" s="21"/>
      <c r="D9" s="21"/>
      <c r="E9" s="21"/>
      <c r="F9" s="21"/>
      <c r="G9" s="21"/>
      <c r="H9" s="21"/>
      <c r="I9" s="21"/>
      <c r="J9" s="21"/>
      <c r="K9" s="24"/>
    </row>
    <row r="10" spans="1:11" ht="15" customHeight="1" x14ac:dyDescent="0.2">
      <c r="A10" s="115" t="s">
        <v>352</v>
      </c>
      <c r="B10" s="114"/>
      <c r="C10" s="105" t="s">
        <v>133</v>
      </c>
      <c r="D10" s="105" t="s">
        <v>134</v>
      </c>
      <c r="E10" s="105" t="s">
        <v>135</v>
      </c>
      <c r="F10" s="105" t="s">
        <v>136</v>
      </c>
      <c r="G10" s="105" t="s">
        <v>137</v>
      </c>
      <c r="H10" s="105" t="s">
        <v>138</v>
      </c>
      <c r="I10" s="105" t="s">
        <v>139</v>
      </c>
      <c r="J10" s="105" t="s">
        <v>140</v>
      </c>
      <c r="K10" s="105" t="s">
        <v>313</v>
      </c>
    </row>
    <row r="11" spans="1:11" ht="15" customHeight="1" x14ac:dyDescent="0.2">
      <c r="A11" s="1" t="s">
        <v>353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 customHeight="1" x14ac:dyDescent="0.2">
      <c r="A12" s="12" t="s">
        <v>323</v>
      </c>
      <c r="B12" s="3" t="s">
        <v>354</v>
      </c>
      <c r="C12" s="21">
        <f>'Revenue Projection'!C15</f>
        <v>972300</v>
      </c>
      <c r="D12" s="21">
        <f>'Revenue Projection'!D15</f>
        <v>1029350</v>
      </c>
      <c r="E12" s="21">
        <f>'Revenue Projection'!E15</f>
        <v>1086750</v>
      </c>
      <c r="F12" s="21">
        <f>'Revenue Projection'!F15</f>
        <v>1143450</v>
      </c>
      <c r="G12" s="21">
        <f>'Revenue Projection'!G15</f>
        <v>1257200</v>
      </c>
      <c r="H12" s="21">
        <f>'Revenue Projection'!H15</f>
        <v>1370250</v>
      </c>
      <c r="I12" s="21">
        <f>'Revenue Projection'!I15</f>
        <v>1484350</v>
      </c>
      <c r="J12" s="21">
        <f>'Revenue Projection'!J15</f>
        <v>1598450</v>
      </c>
      <c r="K12" s="6">
        <f>SUM(C12:J12)</f>
        <v>9942100</v>
      </c>
    </row>
    <row r="13" spans="1:11" ht="15" customHeight="1" x14ac:dyDescent="0.2">
      <c r="A13" s="12" t="s">
        <v>355</v>
      </c>
      <c r="B13" s="3" t="s">
        <v>354</v>
      </c>
      <c r="C13" s="21">
        <f>'Revenue Projection'!C21</f>
        <v>1099000</v>
      </c>
      <c r="D13" s="21">
        <f>'Revenue Projection'!D21</f>
        <v>1162000</v>
      </c>
      <c r="E13" s="21">
        <f>'Revenue Projection'!E21</f>
        <v>1212400</v>
      </c>
      <c r="F13" s="21">
        <f>'Revenue Projection'!F21</f>
        <v>1275400</v>
      </c>
      <c r="G13" s="21">
        <f>'Revenue Projection'!G21</f>
        <v>1372000</v>
      </c>
      <c r="H13" s="21">
        <f>'Revenue Projection'!H21</f>
        <v>1481200</v>
      </c>
      <c r="I13" s="21">
        <f>'Revenue Projection'!I21</f>
        <v>1586200</v>
      </c>
      <c r="J13" s="21">
        <f>'Revenue Projection'!J21</f>
        <v>1691200</v>
      </c>
      <c r="K13" s="6">
        <f>SUM(C13:J13)</f>
        <v>10879400</v>
      </c>
    </row>
    <row r="14" spans="1:11" ht="15" customHeight="1" x14ac:dyDescent="0.2">
      <c r="A14" s="12" t="s">
        <v>356</v>
      </c>
      <c r="B14" s="3" t="s">
        <v>354</v>
      </c>
      <c r="C14" s="21">
        <f>'Revenue Projection'!C27</f>
        <v>49824</v>
      </c>
      <c r="D14" s="21">
        <f>'Revenue Projection'!D27</f>
        <v>52824</v>
      </c>
      <c r="E14" s="21">
        <f>'Revenue Projection'!E27</f>
        <v>56112</v>
      </c>
      <c r="F14" s="21">
        <f>'Revenue Projection'!F27</f>
        <v>58824</v>
      </c>
      <c r="G14" s="21">
        <f>'Revenue Projection'!G27</f>
        <v>65112</v>
      </c>
      <c r="H14" s="21">
        <f>'Revenue Projection'!H27</f>
        <v>70968</v>
      </c>
      <c r="I14" s="21">
        <f>'Revenue Projection'!I27</f>
        <v>76968</v>
      </c>
      <c r="J14" s="21">
        <f>'Revenue Projection'!J27</f>
        <v>83112</v>
      </c>
      <c r="K14" s="6">
        <f>SUM(C14:J14)</f>
        <v>513744</v>
      </c>
    </row>
    <row r="15" spans="1:11" ht="15" customHeight="1" x14ac:dyDescent="0.2">
      <c r="A15" s="12" t="s">
        <v>335</v>
      </c>
      <c r="B15" s="3" t="s">
        <v>354</v>
      </c>
      <c r="C15" s="21">
        <f>'Revenue Projection'!C33</f>
        <v>199100</v>
      </c>
      <c r="D15" s="21">
        <f>'Revenue Projection'!D33</f>
        <v>209000</v>
      </c>
      <c r="E15" s="21">
        <f>'Revenue Projection'!E33</f>
        <v>219560</v>
      </c>
      <c r="F15" s="21">
        <f>'Revenue Projection'!F33</f>
        <v>230560</v>
      </c>
      <c r="G15" s="21">
        <f>'Revenue Projection'!G33</f>
        <v>253000</v>
      </c>
      <c r="H15" s="21">
        <f>'Revenue Projection'!H33</f>
        <v>274560</v>
      </c>
      <c r="I15" s="21">
        <f>'Revenue Projection'!I33</f>
        <v>296560</v>
      </c>
      <c r="J15" s="21">
        <f>'Revenue Projection'!J33</f>
        <v>318560</v>
      </c>
      <c r="K15" s="6">
        <f>SUM(C15:J15)</f>
        <v>2000900</v>
      </c>
    </row>
    <row r="16" spans="1:11" ht="15" customHeight="1" x14ac:dyDescent="0.2">
      <c r="A16" s="12" t="s">
        <v>340</v>
      </c>
      <c r="B16" s="3" t="s">
        <v>354</v>
      </c>
      <c r="C16" s="21">
        <f>'Revenue Projection'!C39</f>
        <v>1096200</v>
      </c>
      <c r="D16" s="21">
        <f>'Revenue Projection'!D39</f>
        <v>1186200</v>
      </c>
      <c r="E16" s="21">
        <f>'Revenue Projection'!E39</f>
        <v>1276200</v>
      </c>
      <c r="F16" s="21">
        <f>'Revenue Projection'!F39</f>
        <v>1512000</v>
      </c>
      <c r="G16" s="21">
        <f>'Revenue Projection'!G39</f>
        <v>1456200</v>
      </c>
      <c r="H16" s="21">
        <f>'Revenue Projection'!H39</f>
        <v>1636200</v>
      </c>
      <c r="I16" s="21">
        <f>'Revenue Projection'!I39</f>
        <v>1710000</v>
      </c>
      <c r="J16" s="21">
        <f>'Revenue Projection'!J39</f>
        <v>1800000</v>
      </c>
      <c r="K16" s="6">
        <f>SUM(C16:J16)</f>
        <v>11673000</v>
      </c>
    </row>
    <row r="17" spans="1:11" ht="15" customHeight="1" x14ac:dyDescent="0.2">
      <c r="A17" s="15" t="s">
        <v>342</v>
      </c>
      <c r="B17" s="117"/>
      <c r="C17" s="17">
        <f t="shared" ref="C17:K17" si="0">SUM(C12:C16)</f>
        <v>3416424</v>
      </c>
      <c r="D17" s="17">
        <f t="shared" si="0"/>
        <v>3639374</v>
      </c>
      <c r="E17" s="17">
        <f t="shared" si="0"/>
        <v>3851022</v>
      </c>
      <c r="F17" s="17">
        <f t="shared" si="0"/>
        <v>4220234</v>
      </c>
      <c r="G17" s="17">
        <f t="shared" si="0"/>
        <v>4403512</v>
      </c>
      <c r="H17" s="17">
        <f t="shared" si="0"/>
        <v>4833178</v>
      </c>
      <c r="I17" s="17">
        <f t="shared" si="0"/>
        <v>5154078</v>
      </c>
      <c r="J17" s="17">
        <f t="shared" si="0"/>
        <v>5491322</v>
      </c>
      <c r="K17" s="17">
        <f t="shared" si="0"/>
        <v>35009144</v>
      </c>
    </row>
    <row r="18" spans="1:11" x14ac:dyDescent="0.2">
      <c r="B18" s="118"/>
    </row>
    <row r="19" spans="1:11" ht="15" customHeight="1" x14ac:dyDescent="0.2">
      <c r="A19" s="1" t="s">
        <v>357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5" customHeight="1" x14ac:dyDescent="0.2">
      <c r="A20" s="12" t="s">
        <v>358</v>
      </c>
      <c r="B20" s="3" t="s">
        <v>359</v>
      </c>
      <c r="C20" s="21">
        <f>'Depreciation Schedule'!H46</f>
        <v>884350</v>
      </c>
      <c r="D20" s="21">
        <f>'Depreciation Schedule'!I46</f>
        <v>969697.48</v>
      </c>
      <c r="E20" s="21">
        <f>'Depreciation Schedule'!J46</f>
        <v>1062884.0272000001</v>
      </c>
      <c r="F20" s="21">
        <f>'Depreciation Schedule'!K46</f>
        <v>1174414.865584</v>
      </c>
      <c r="G20" s="21">
        <f>'Depreciation Schedule'!L46</f>
        <v>1278547.0042403198</v>
      </c>
      <c r="H20" s="21">
        <f>'Depreciation Schedule'!M46</f>
        <v>1307818.3944947582</v>
      </c>
      <c r="I20" s="21">
        <f>'Depreciation Schedule'!N46</f>
        <v>1340810.4487295162</v>
      </c>
      <c r="J20" s="21">
        <f>'Depreciation Schedule'!O46</f>
        <v>1364303.3680042792</v>
      </c>
      <c r="K20" s="6">
        <f>SUM(C20:J20)</f>
        <v>9382825.5882528722</v>
      </c>
    </row>
    <row r="21" spans="1:11" ht="15" customHeight="1" x14ac:dyDescent="0.2">
      <c r="A21" s="12" t="s">
        <v>360</v>
      </c>
      <c r="B21" s="3" t="s">
        <v>361</v>
      </c>
      <c r="C21" s="93">
        <f>SUM('CapEx &amp; Storage'!$E$18:E18)*Assumptions!$B$28</f>
        <v>166452.5</v>
      </c>
      <c r="D21" s="93">
        <f>SUM('CapEx &amp; Storage'!$E$18:F18)*Assumptions!$B$28</f>
        <v>185559.65000000002</v>
      </c>
      <c r="E21" s="93">
        <f>SUM('CapEx &amp; Storage'!$E$18:G18)*Assumptions!$B$28</f>
        <v>203282.86400000003</v>
      </c>
      <c r="F21" s="93">
        <f>SUM('CapEx &amp; Storage'!$E$18:H18)*Assumptions!$B$28</f>
        <v>225395.78570000004</v>
      </c>
      <c r="G21" s="93">
        <f>SUM('CapEx &amp; Storage'!$E$18:I18)*Assumptions!$B$28</f>
        <v>249290.47563200002</v>
      </c>
      <c r="H21" s="93">
        <f>SUM('CapEx &amp; Storage'!$E$18:J18)*Assumptions!$B$28</f>
        <v>249290.47563200002</v>
      </c>
      <c r="I21" s="93">
        <f>SUM('CapEx &amp; Storage'!$E$18:K18)*Assumptions!$B$28</f>
        <v>249290.47563200002</v>
      </c>
      <c r="J21" s="93">
        <f>SUM('CapEx &amp; Storage'!$E$18:L18)*Assumptions!$B$28</f>
        <v>249290.47563200002</v>
      </c>
      <c r="K21" s="6">
        <f>SUM(C21:J21)</f>
        <v>1777852.7022280002</v>
      </c>
    </row>
    <row r="22" spans="1:11" ht="15" customHeight="1" x14ac:dyDescent="0.2">
      <c r="A22" s="12" t="s">
        <v>362</v>
      </c>
      <c r="B22" s="3" t="s">
        <v>363</v>
      </c>
      <c r="C22" s="93">
        <f>SUM('CapEx &amp; Storage'!$E$19:E19)*Assumptions!$B$32</f>
        <v>26000</v>
      </c>
      <c r="D22" s="93">
        <f>SUM('CapEx &amp; Storage'!$E$19:F19)*Assumptions!$B$32</f>
        <v>28040</v>
      </c>
      <c r="E22" s="93">
        <f>SUM('CapEx &amp; Storage'!$E$19:G19)*Assumptions!$B$32</f>
        <v>30120.800000000003</v>
      </c>
      <c r="F22" s="93">
        <f>SUM('CapEx &amp; Storage'!$E$19:H19)*Assumptions!$B$32</f>
        <v>34365.632000000005</v>
      </c>
      <c r="G22" s="93">
        <f>SUM('CapEx &amp; Storage'!$E$19:I19)*Assumptions!$B$32</f>
        <v>34365.632000000005</v>
      </c>
      <c r="H22" s="93">
        <f>SUM('CapEx &amp; Storage'!$E$19:J19)*Assumptions!$B$32</f>
        <v>38781.9552128</v>
      </c>
      <c r="I22" s="93">
        <f>SUM('CapEx &amp; Storage'!$E$19:K19)*Assumptions!$B$32</f>
        <v>43286.604889856004</v>
      </c>
      <c r="J22" s="93">
        <f>SUM('CapEx &amp; Storage'!$E$19:L19)*Assumptions!$B$32</f>
        <v>47881.34756045312</v>
      </c>
      <c r="K22" s="6">
        <f>SUM(C22:J22)</f>
        <v>282841.97166310914</v>
      </c>
    </row>
    <row r="23" spans="1:11" ht="15" customHeight="1" x14ac:dyDescent="0.2">
      <c r="A23" s="12" t="s">
        <v>364</v>
      </c>
      <c r="B23" s="3" t="s">
        <v>365</v>
      </c>
      <c r="C23" s="93">
        <f>SUM('CapEx &amp; Storage'!$E$20:E21)*Assumptions!$B$37</f>
        <v>9370</v>
      </c>
      <c r="D23" s="93">
        <f>SUM('CapEx &amp; Storage'!$E$20:F21)*Assumptions!$B$37</f>
        <v>9637.24</v>
      </c>
      <c r="E23" s="93">
        <f>SUM('CapEx &amp; Storage'!$E$20:G21)*Assumptions!$B$37</f>
        <v>10619.3776</v>
      </c>
      <c r="F23" s="93">
        <f>SUM('CapEx &amp; Storage'!$E$20:H21)*Assumptions!$B$37</f>
        <v>11392.998232</v>
      </c>
      <c r="G23" s="93">
        <f>SUM('CapEx &amp; Storage'!$E$20:I21)*Assumptions!$B$37</f>
        <v>11951.533226560001</v>
      </c>
      <c r="H23" s="93">
        <f>SUM('CapEx &amp; Storage'!$E$20:J21)*Assumptions!$B$37</f>
        <v>13360.340331443202</v>
      </c>
      <c r="I23" s="93">
        <f>SUM('CapEx &amp; Storage'!$E$20:K21)*Assumptions!$B$37</f>
        <v>15058.593259693313</v>
      </c>
      <c r="J23" s="93">
        <f>SUM('CapEx &amp; Storage'!$E$20:L21)*Assumptions!$B$37</f>
        <v>15944.229909450905</v>
      </c>
      <c r="K23" s="6">
        <f>SUM(C23:J23)</f>
        <v>97334.312559147424</v>
      </c>
    </row>
    <row r="24" spans="1:11" ht="15" customHeight="1" x14ac:dyDescent="0.2">
      <c r="A24" s="12" t="s">
        <v>366</v>
      </c>
      <c r="B24" s="3" t="s">
        <v>367</v>
      </c>
      <c r="C24" s="93">
        <f>SUM('CapEx &amp; Storage'!$E$22:E22)*Assumptions!$B$41</f>
        <v>1850</v>
      </c>
      <c r="D24" s="93">
        <f>SUM('CapEx &amp; Storage'!$E$22:F22)*Assumptions!$B$41</f>
        <v>1850</v>
      </c>
      <c r="E24" s="93">
        <f>SUM('CapEx &amp; Storage'!$E$22:G22)*Assumptions!$B$41</f>
        <v>2110.1</v>
      </c>
      <c r="F24" s="93">
        <f>SUM('CapEx &amp; Storage'!$E$22:H22)*Assumptions!$B$41</f>
        <v>2216.2208000000001</v>
      </c>
      <c r="G24" s="93">
        <f>SUM('CapEx &amp; Storage'!$E$22:I22)*Assumptions!$B$41</f>
        <v>2319.0518551999999</v>
      </c>
      <c r="H24" s="93">
        <f>SUM('CapEx &amp; Storage'!$E$22:J22)*Assumptions!$B$41</f>
        <v>2434.980339536</v>
      </c>
      <c r="I24" s="93">
        <f>SUM('CapEx &amp; Storage'!$E$22:K22)*Assumptions!$B$41</f>
        <v>2660.2128233888002</v>
      </c>
      <c r="J24" s="93">
        <f>SUM('CapEx &amp; Storage'!$E$22:L22)*Assumptions!$B$41</f>
        <v>2775.0813901537281</v>
      </c>
      <c r="K24" s="6">
        <f>SUM(C24:J24)</f>
        <v>18215.647208278529</v>
      </c>
    </row>
    <row r="25" spans="1:11" ht="15" customHeight="1" thickBot="1" x14ac:dyDescent="0.25">
      <c r="A25" s="15" t="s">
        <v>357</v>
      </c>
      <c r="B25" s="117"/>
      <c r="C25" s="17">
        <f t="shared" ref="C25:K25" si="1">SUM(C20:C24)</f>
        <v>1088022.5</v>
      </c>
      <c r="D25" s="17">
        <f t="shared" si="1"/>
        <v>1194784.3699999999</v>
      </c>
      <c r="E25" s="17">
        <f t="shared" si="1"/>
        <v>1309017.1688000003</v>
      </c>
      <c r="F25" s="17">
        <f t="shared" si="1"/>
        <v>1447785.5023160002</v>
      </c>
      <c r="G25" s="17">
        <f t="shared" si="1"/>
        <v>1576473.6969540799</v>
      </c>
      <c r="H25" s="17">
        <f t="shared" si="1"/>
        <v>1611686.1460105374</v>
      </c>
      <c r="I25" s="17">
        <f t="shared" si="1"/>
        <v>1651106.3353344544</v>
      </c>
      <c r="J25" s="17">
        <f t="shared" si="1"/>
        <v>1680194.5024963371</v>
      </c>
      <c r="K25" s="17">
        <f t="shared" si="1"/>
        <v>11559070.22191141</v>
      </c>
    </row>
    <row r="26" spans="1:11" ht="15" customHeight="1" x14ac:dyDescent="0.2">
      <c r="A26" s="9" t="s">
        <v>368</v>
      </c>
      <c r="B26" s="3"/>
      <c r="C26" s="11">
        <f t="shared" ref="C26:K26" si="2">C17-C25</f>
        <v>2328401.5</v>
      </c>
      <c r="D26" s="11">
        <f t="shared" si="2"/>
        <v>2444589.63</v>
      </c>
      <c r="E26" s="11">
        <f t="shared" si="2"/>
        <v>2542004.8311999999</v>
      </c>
      <c r="F26" s="11">
        <f t="shared" si="2"/>
        <v>2772448.4976840001</v>
      </c>
      <c r="G26" s="11">
        <f t="shared" si="2"/>
        <v>2827038.3030459201</v>
      </c>
      <c r="H26" s="11">
        <f t="shared" si="2"/>
        <v>3221491.8539894624</v>
      </c>
      <c r="I26" s="11">
        <f t="shared" si="2"/>
        <v>3502971.6646655453</v>
      </c>
      <c r="J26" s="11">
        <f t="shared" si="2"/>
        <v>3811127.4975036629</v>
      </c>
      <c r="K26" s="11">
        <f t="shared" si="2"/>
        <v>23450073.778088592</v>
      </c>
    </row>
    <row r="27" spans="1:11" ht="15" customHeight="1" x14ac:dyDescent="0.2">
      <c r="A27" s="14" t="s">
        <v>369</v>
      </c>
      <c r="B27" s="118"/>
      <c r="C27" s="26">
        <f t="shared" ref="C27:K27" si="3">IF(C17&lt;&gt;0,C26/C17,0)</f>
        <v>0.68153177123214215</v>
      </c>
      <c r="D27" s="26">
        <f t="shared" si="3"/>
        <v>0.67170607637467317</v>
      </c>
      <c r="E27" s="26">
        <f t="shared" si="3"/>
        <v>0.66008577234822341</v>
      </c>
      <c r="F27" s="26">
        <f t="shared" si="3"/>
        <v>0.65694188940328901</v>
      </c>
      <c r="G27" s="26">
        <f t="shared" si="3"/>
        <v>0.64199627548327787</v>
      </c>
      <c r="H27" s="26">
        <f t="shared" si="3"/>
        <v>0.66653697711722237</v>
      </c>
      <c r="I27" s="26">
        <f t="shared" si="3"/>
        <v>0.67965049513522013</v>
      </c>
      <c r="J27" s="26">
        <f t="shared" si="3"/>
        <v>0.69402732119946031</v>
      </c>
      <c r="K27" s="26">
        <f t="shared" si="3"/>
        <v>0.66982711082820512</v>
      </c>
    </row>
    <row r="28" spans="1:11" x14ac:dyDescent="0.2">
      <c r="B28" s="118"/>
    </row>
    <row r="29" spans="1:11" ht="15" customHeight="1" x14ac:dyDescent="0.2">
      <c r="A29" s="1" t="s">
        <v>370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" customHeight="1" x14ac:dyDescent="0.2">
      <c r="A30" s="12" t="s">
        <v>371</v>
      </c>
      <c r="B30" s="3" t="s">
        <v>372</v>
      </c>
      <c r="C30" s="21">
        <f>'CapEx &amp; Storage'!E63</f>
        <v>315888.46677</v>
      </c>
      <c r="D30" s="21">
        <f>'CapEx &amp; Storage'!F63</f>
        <v>372409.75818</v>
      </c>
      <c r="E30" s="21">
        <f>'CapEx &amp; Storage'!G63</f>
        <v>436325.85576000006</v>
      </c>
      <c r="F30" s="21">
        <f>'CapEx &amp; Storage'!H63</f>
        <v>506269.74294000008</v>
      </c>
      <c r="G30" s="21">
        <f>'CapEx &amp; Storage'!I63</f>
        <v>579647.31741000002</v>
      </c>
      <c r="H30" s="21">
        <f>'CapEx &amp; Storage'!J63</f>
        <v>649859.76414450002</v>
      </c>
      <c r="I30" s="21">
        <f>'CapEx &amp; Storage'!K63</f>
        <v>728545.5608310001</v>
      </c>
      <c r="J30" s="21">
        <f>'CapEx &amp; Storage'!L63</f>
        <v>816324.70868549997</v>
      </c>
      <c r="K30" s="6">
        <f t="shared" ref="K30:K36" si="4">SUM(C30:J30)</f>
        <v>4405271.1747209998</v>
      </c>
    </row>
    <row r="31" spans="1:11" ht="15" customHeight="1" x14ac:dyDescent="0.2">
      <c r="A31" s="12" t="s">
        <v>373</v>
      </c>
      <c r="B31" s="3" t="s">
        <v>374</v>
      </c>
      <c r="C31" s="21">
        <f>'Human Resources'!D32</f>
        <v>492000</v>
      </c>
      <c r="D31" s="21">
        <f>'Human Resources'!E32</f>
        <v>534000</v>
      </c>
      <c r="E31" s="21">
        <f>'Human Resources'!F32</f>
        <v>685680</v>
      </c>
      <c r="F31" s="21">
        <f>'Human Resources'!G32</f>
        <v>741018</v>
      </c>
      <c r="G31" s="21">
        <f>'Human Resources'!H32</f>
        <v>917916.90000000014</v>
      </c>
      <c r="H31" s="21">
        <f>'Human Resources'!I32</f>
        <v>1050549.6000000003</v>
      </c>
      <c r="I31" s="21">
        <f>'Human Resources'!J32</f>
        <v>1259749.1355000003</v>
      </c>
      <c r="J31" s="21">
        <f>'Human Resources'!K32</f>
        <v>1353561.7536750005</v>
      </c>
      <c r="K31" s="6">
        <f t="shared" si="4"/>
        <v>7034475.3891750015</v>
      </c>
    </row>
    <row r="32" spans="1:11" ht="15" customHeight="1" x14ac:dyDescent="0.2">
      <c r="A32" s="12" t="s">
        <v>375</v>
      </c>
      <c r="B32" s="3" t="s">
        <v>374</v>
      </c>
      <c r="C32" s="21">
        <f>'Human Resources'!D38</f>
        <v>120000</v>
      </c>
      <c r="D32" s="21">
        <f>'Human Resources'!E38</f>
        <v>126000</v>
      </c>
      <c r="E32" s="21">
        <f>'Human Resources'!F38</f>
        <v>132300</v>
      </c>
      <c r="F32" s="21">
        <f>'Human Resources'!G38</f>
        <v>138915</v>
      </c>
      <c r="G32" s="21">
        <f>'Human Resources'!H38</f>
        <v>145860.75</v>
      </c>
      <c r="H32" s="21">
        <f>'Human Resources'!I38</f>
        <v>183784.54500000001</v>
      </c>
      <c r="I32" s="21">
        <f>'Human Resources'!J38</f>
        <v>192973.77225000004</v>
      </c>
      <c r="J32" s="21">
        <f>'Human Resources'!K38</f>
        <v>202622.46086250004</v>
      </c>
      <c r="K32" s="6">
        <f t="shared" si="4"/>
        <v>1242456.5281125002</v>
      </c>
    </row>
    <row r="33" spans="1:11" ht="15" customHeight="1" x14ac:dyDescent="0.2">
      <c r="A33" s="12" t="s">
        <v>376</v>
      </c>
      <c r="B33" s="3" t="s">
        <v>377</v>
      </c>
      <c r="C33" s="21">
        <f>Assumptions!$B$48*12</f>
        <v>120000</v>
      </c>
      <c r="D33" s="21">
        <f>Assumptions!$B$48*12</f>
        <v>120000</v>
      </c>
      <c r="E33" s="21">
        <f>Assumptions!$B$48*12</f>
        <v>120000</v>
      </c>
      <c r="F33" s="21">
        <f>Assumptions!$B$48*12</f>
        <v>120000</v>
      </c>
      <c r="G33" s="21">
        <f>Assumptions!$B$48*12</f>
        <v>120000</v>
      </c>
      <c r="H33" s="21">
        <f>Assumptions!$B$48*12</f>
        <v>120000</v>
      </c>
      <c r="I33" s="21">
        <f>Assumptions!$B$48*12</f>
        <v>120000</v>
      </c>
      <c r="J33" s="21">
        <f>Assumptions!$B$48*12</f>
        <v>120000</v>
      </c>
      <c r="K33" s="6">
        <f t="shared" si="4"/>
        <v>960000</v>
      </c>
    </row>
    <row r="34" spans="1:11" ht="15" customHeight="1" x14ac:dyDescent="0.2">
      <c r="A34" s="12" t="s">
        <v>378</v>
      </c>
      <c r="B34" s="3" t="s">
        <v>377</v>
      </c>
      <c r="C34" s="21">
        <f>Assumptions!B49*12</f>
        <v>18000</v>
      </c>
      <c r="D34" s="6">
        <f>C34*(1+Assumptions!$B$52)</f>
        <v>18900</v>
      </c>
      <c r="E34" s="6">
        <f>D34*(1+Assumptions!$B$52)</f>
        <v>19845</v>
      </c>
      <c r="F34" s="6">
        <f>E34*(1+Assumptions!$B$52)</f>
        <v>20837.25</v>
      </c>
      <c r="G34" s="6">
        <f>F34*(1+Assumptions!$B$52)</f>
        <v>21879.112499999999</v>
      </c>
      <c r="H34" s="6">
        <f>G34*(1+Assumptions!$B$52)</f>
        <v>22973.068125000002</v>
      </c>
      <c r="I34" s="6">
        <f>H34*(1+Assumptions!$B$52)</f>
        <v>24121.721531250001</v>
      </c>
      <c r="J34" s="6">
        <f>I34*(1+Assumptions!$B$52)</f>
        <v>25327.807607812501</v>
      </c>
      <c r="K34" s="6">
        <f t="shared" si="4"/>
        <v>171883.95976406249</v>
      </c>
    </row>
    <row r="35" spans="1:11" ht="15" customHeight="1" x14ac:dyDescent="0.2">
      <c r="A35" s="12" t="s">
        <v>379</v>
      </c>
      <c r="B35" s="3" t="s">
        <v>377</v>
      </c>
      <c r="C35" s="21">
        <f>Assumptions!B50</f>
        <v>22000</v>
      </c>
      <c r="D35" s="6">
        <f>C35*(1+Assumptions!$B$52)</f>
        <v>23100</v>
      </c>
      <c r="E35" s="6">
        <f>D35*(1+Assumptions!$B$52)</f>
        <v>24255</v>
      </c>
      <c r="F35" s="6">
        <f>E35*(1+Assumptions!$B$52)</f>
        <v>25467.75</v>
      </c>
      <c r="G35" s="6">
        <f>F35*(1+Assumptions!$B$52)</f>
        <v>26741.137500000001</v>
      </c>
      <c r="H35" s="6">
        <f>G35*(1+Assumptions!$B$52)</f>
        <v>28078.194375000003</v>
      </c>
      <c r="I35" s="6">
        <f>H35*(1+Assumptions!$B$52)</f>
        <v>29482.104093750004</v>
      </c>
      <c r="J35" s="6">
        <f>I35*(1+Assumptions!$B$52)</f>
        <v>30956.209298437505</v>
      </c>
      <c r="K35" s="6">
        <f t="shared" si="4"/>
        <v>210080.3952671875</v>
      </c>
    </row>
    <row r="36" spans="1:11" ht="15" customHeight="1" x14ac:dyDescent="0.2">
      <c r="A36" s="12" t="s">
        <v>82</v>
      </c>
      <c r="B36" s="3" t="s">
        <v>377</v>
      </c>
      <c r="C36" s="21">
        <f>Assumptions!B51</f>
        <v>50000</v>
      </c>
      <c r="D36" s="6">
        <f>C36*(1+Assumptions!$B$52)</f>
        <v>52500</v>
      </c>
      <c r="E36" s="6">
        <f>D36*(1+Assumptions!$B$52)</f>
        <v>55125</v>
      </c>
      <c r="F36" s="6">
        <f>E36*(1+Assumptions!$B$52)</f>
        <v>57881.25</v>
      </c>
      <c r="G36" s="6">
        <f>F36*(1+Assumptions!$B$52)</f>
        <v>60775.3125</v>
      </c>
      <c r="H36" s="6">
        <f>G36*(1+Assumptions!$B$52)</f>
        <v>63814.078125</v>
      </c>
      <c r="I36" s="6">
        <f>H36*(1+Assumptions!$B$52)</f>
        <v>67004.782031249997</v>
      </c>
      <c r="J36" s="6">
        <f>I36*(1+Assumptions!$B$52)</f>
        <v>70355.021132812501</v>
      </c>
      <c r="K36" s="6">
        <f t="shared" si="4"/>
        <v>477455.4437890625</v>
      </c>
    </row>
    <row r="37" spans="1:11" ht="15" customHeight="1" thickBot="1" x14ac:dyDescent="0.25">
      <c r="A37" s="15" t="s">
        <v>380</v>
      </c>
      <c r="B37" s="117"/>
      <c r="C37" s="17">
        <f t="shared" ref="C37:K37" si="5">SUM(C30:C36)</f>
        <v>1137888.4667700001</v>
      </c>
      <c r="D37" s="17">
        <f t="shared" si="5"/>
        <v>1246909.7581799999</v>
      </c>
      <c r="E37" s="17">
        <f t="shared" si="5"/>
        <v>1473530.8557600002</v>
      </c>
      <c r="F37" s="17">
        <f t="shared" si="5"/>
        <v>1610388.99294</v>
      </c>
      <c r="G37" s="17">
        <f t="shared" si="5"/>
        <v>1872820.52991</v>
      </c>
      <c r="H37" s="17">
        <f t="shared" si="5"/>
        <v>2119059.2497695005</v>
      </c>
      <c r="I37" s="17">
        <f t="shared" si="5"/>
        <v>2421877.0762372506</v>
      </c>
      <c r="J37" s="17">
        <f t="shared" si="5"/>
        <v>2619147.9612620627</v>
      </c>
      <c r="K37" s="17">
        <f t="shared" si="5"/>
        <v>14501622.890828814</v>
      </c>
    </row>
    <row r="38" spans="1:11" ht="15" customHeight="1" x14ac:dyDescent="0.2">
      <c r="A38" s="9" t="s">
        <v>381</v>
      </c>
      <c r="B38" s="3" t="s">
        <v>382</v>
      </c>
      <c r="C38" s="11">
        <f t="shared" ref="C38:K38" si="6">C26-C37+C20</f>
        <v>2074863.0332299999</v>
      </c>
      <c r="D38" s="11">
        <f t="shared" si="6"/>
        <v>2167377.35182</v>
      </c>
      <c r="E38" s="11">
        <f t="shared" si="6"/>
        <v>2131358.0026399996</v>
      </c>
      <c r="F38" s="11">
        <f t="shared" si="6"/>
        <v>2336474.3703279998</v>
      </c>
      <c r="G38" s="11">
        <f t="shared" si="6"/>
        <v>2232764.7773762401</v>
      </c>
      <c r="H38" s="11">
        <f t="shared" si="6"/>
        <v>2410250.9987147199</v>
      </c>
      <c r="I38" s="11">
        <f t="shared" si="6"/>
        <v>2421905.0371578112</v>
      </c>
      <c r="J38" s="11">
        <f t="shared" si="6"/>
        <v>2556282.9042458795</v>
      </c>
      <c r="K38" s="11">
        <f t="shared" si="6"/>
        <v>18331276.47551265</v>
      </c>
    </row>
    <row r="39" spans="1:11" ht="15" customHeight="1" x14ac:dyDescent="0.2">
      <c r="A39" s="14" t="s">
        <v>383</v>
      </c>
      <c r="B39" s="3"/>
      <c r="C39" s="26">
        <f t="shared" ref="C39:K39" si="7">IF(C17&lt;&gt;0,C38/C17,0)</f>
        <v>0.6073201198768069</v>
      </c>
      <c r="D39" s="26">
        <f t="shared" si="7"/>
        <v>0.59553575747367538</v>
      </c>
      <c r="E39" s="26">
        <f t="shared" si="7"/>
        <v>0.55345256470619997</v>
      </c>
      <c r="F39" s="26">
        <f t="shared" si="7"/>
        <v>0.55363621314078793</v>
      </c>
      <c r="G39" s="26">
        <f t="shared" si="7"/>
        <v>0.50704182874402071</v>
      </c>
      <c r="H39" s="26">
        <f t="shared" si="7"/>
        <v>0.49868864724508799</v>
      </c>
      <c r="I39" s="26">
        <f t="shared" si="7"/>
        <v>0.46990073436176388</v>
      </c>
      <c r="J39" s="26">
        <f t="shared" si="7"/>
        <v>0.46551320506171001</v>
      </c>
      <c r="K39" s="26">
        <f t="shared" si="7"/>
        <v>0.52361395855644599</v>
      </c>
    </row>
    <row r="40" spans="1:11" ht="15" customHeight="1" x14ac:dyDescent="0.2">
      <c r="A40" s="9" t="s">
        <v>384</v>
      </c>
      <c r="B40" s="3"/>
      <c r="C40" s="11">
        <f t="shared" ref="C40:K40" si="8">C26-C37</f>
        <v>1190513.0332299999</v>
      </c>
      <c r="D40" s="11">
        <f t="shared" si="8"/>
        <v>1197679.87182</v>
      </c>
      <c r="E40" s="11">
        <f t="shared" si="8"/>
        <v>1068473.9754399997</v>
      </c>
      <c r="F40" s="11">
        <f t="shared" si="8"/>
        <v>1162059.504744</v>
      </c>
      <c r="G40" s="11">
        <f t="shared" si="8"/>
        <v>954217.77313592006</v>
      </c>
      <c r="H40" s="11">
        <f t="shared" si="8"/>
        <v>1102432.6042199619</v>
      </c>
      <c r="I40" s="11">
        <f t="shared" si="8"/>
        <v>1081094.5884282948</v>
      </c>
      <c r="J40" s="11">
        <f t="shared" si="8"/>
        <v>1191979.5362416003</v>
      </c>
      <c r="K40" s="11">
        <f t="shared" si="8"/>
        <v>8948450.8872597776</v>
      </c>
    </row>
    <row r="41" spans="1:11" ht="15" customHeight="1" x14ac:dyDescent="0.2">
      <c r="A41" s="14" t="s">
        <v>385</v>
      </c>
      <c r="B41" s="3"/>
      <c r="C41" s="26">
        <f t="shared" ref="C41:K41" si="9">IF(C17&lt;&gt;0,C40/C17,0)</f>
        <v>0.34846758869215294</v>
      </c>
      <c r="D41" s="26">
        <f t="shared" si="9"/>
        <v>0.32908952798475782</v>
      </c>
      <c r="E41" s="26">
        <f t="shared" si="9"/>
        <v>0.27745205699681791</v>
      </c>
      <c r="F41" s="26">
        <f t="shared" si="9"/>
        <v>0.27535428242699339</v>
      </c>
      <c r="G41" s="26">
        <f t="shared" si="9"/>
        <v>0.2166947139319525</v>
      </c>
      <c r="H41" s="26">
        <f t="shared" si="9"/>
        <v>0.22809683488172003</v>
      </c>
      <c r="I41" s="26">
        <f t="shared" si="9"/>
        <v>0.20975518578265498</v>
      </c>
      <c r="J41" s="26">
        <f t="shared" si="9"/>
        <v>0.21706604279290129</v>
      </c>
      <c r="K41" s="26">
        <f t="shared" si="9"/>
        <v>0.25560324717621707</v>
      </c>
    </row>
    <row r="42" spans="1:11" ht="15" customHeight="1" x14ac:dyDescent="0.2">
      <c r="A42" s="14"/>
      <c r="B42" s="3"/>
      <c r="C42" s="26"/>
      <c r="D42" s="26"/>
      <c r="E42" s="26"/>
      <c r="F42" s="26"/>
      <c r="G42" s="26"/>
      <c r="H42" s="26"/>
      <c r="I42" s="26"/>
      <c r="J42" s="26"/>
      <c r="K42" s="26"/>
    </row>
    <row r="43" spans="1:11" ht="15" customHeight="1" x14ac:dyDescent="0.2">
      <c r="A43" s="1" t="s">
        <v>386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 customHeight="1" x14ac:dyDescent="0.2">
      <c r="A44" s="12" t="s">
        <v>387</v>
      </c>
      <c r="B44" s="3" t="s">
        <v>388</v>
      </c>
      <c r="C44" s="112">
        <v>0</v>
      </c>
      <c r="D44" s="112">
        <v>0</v>
      </c>
      <c r="E44" s="112">
        <v>0</v>
      </c>
      <c r="F44" s="112">
        <v>0</v>
      </c>
      <c r="G44" s="112">
        <v>0</v>
      </c>
      <c r="H44" s="112">
        <v>0</v>
      </c>
      <c r="I44" s="112">
        <v>0</v>
      </c>
      <c r="J44" s="112">
        <v>0</v>
      </c>
      <c r="K44" s="112">
        <f>SUM(C44:J44)</f>
        <v>0</v>
      </c>
    </row>
    <row r="45" spans="1:11" ht="15" customHeight="1" x14ac:dyDescent="0.2">
      <c r="A45" s="14" t="s">
        <v>389</v>
      </c>
      <c r="B45" s="3" t="s">
        <v>390</v>
      </c>
      <c r="C45" s="112">
        <f t="shared" ref="C45:J45" si="10">MAX((C40-C44-375000)*9%,0)</f>
        <v>73396.172990699997</v>
      </c>
      <c r="D45" s="112">
        <f t="shared" si="10"/>
        <v>74041.18846379999</v>
      </c>
      <c r="E45" s="112">
        <f t="shared" si="10"/>
        <v>62412.657789599973</v>
      </c>
      <c r="F45" s="112">
        <f t="shared" si="10"/>
        <v>70835.355426959999</v>
      </c>
      <c r="G45" s="112">
        <f t="shared" si="10"/>
        <v>52129.599582232804</v>
      </c>
      <c r="H45" s="112">
        <f t="shared" si="10"/>
        <v>65468.93437979657</v>
      </c>
      <c r="I45" s="112">
        <f t="shared" si="10"/>
        <v>63548.512958546526</v>
      </c>
      <c r="J45" s="112">
        <f t="shared" si="10"/>
        <v>73528.158261744029</v>
      </c>
      <c r="K45" s="113">
        <f>SUM(C45:J45)</f>
        <v>535360.57985337987</v>
      </c>
    </row>
    <row r="46" spans="1:11" ht="15" customHeight="1" thickBot="1" x14ac:dyDescent="0.25">
      <c r="A46" s="15" t="s">
        <v>391</v>
      </c>
      <c r="B46" s="117"/>
      <c r="C46" s="17">
        <f t="shared" ref="C46:K46" si="11">C40-C44-C45</f>
        <v>1117116.8602392999</v>
      </c>
      <c r="D46" s="17">
        <f t="shared" si="11"/>
        <v>1123638.6833562001</v>
      </c>
      <c r="E46" s="17">
        <f t="shared" si="11"/>
        <v>1006061.3176503998</v>
      </c>
      <c r="F46" s="17">
        <f t="shared" si="11"/>
        <v>1091224.1493170401</v>
      </c>
      <c r="G46" s="17">
        <f t="shared" si="11"/>
        <v>902088.17355368729</v>
      </c>
      <c r="H46" s="17">
        <f t="shared" si="11"/>
        <v>1036963.6698401653</v>
      </c>
      <c r="I46" s="17">
        <f t="shared" si="11"/>
        <v>1017546.0754697482</v>
      </c>
      <c r="J46" s="17">
        <f t="shared" si="11"/>
        <v>1118451.3779798562</v>
      </c>
      <c r="K46" s="17">
        <f t="shared" si="11"/>
        <v>8413090.3074063975</v>
      </c>
    </row>
    <row r="47" spans="1:11" ht="15" customHeight="1" x14ac:dyDescent="0.2">
      <c r="A47" s="14"/>
      <c r="B47" s="3"/>
      <c r="C47" s="26"/>
      <c r="D47" s="26"/>
      <c r="E47" s="26"/>
      <c r="F47" s="26"/>
      <c r="G47" s="26"/>
      <c r="H47" s="26"/>
      <c r="I47" s="26"/>
      <c r="J47" s="26"/>
      <c r="K47" s="26"/>
    </row>
    <row r="48" spans="1:11" ht="15" customHeight="1" x14ac:dyDescent="0.2">
      <c r="A48" s="14"/>
      <c r="B48" s="3"/>
      <c r="C48" s="26"/>
      <c r="D48" s="26"/>
      <c r="E48" s="26"/>
      <c r="F48" s="26"/>
      <c r="G48" s="26"/>
      <c r="H48" s="26"/>
      <c r="I48" s="26"/>
      <c r="J48" s="26"/>
      <c r="K48" s="26"/>
    </row>
    <row r="49" spans="1:11" ht="15" customHeight="1" x14ac:dyDescent="0.2">
      <c r="A49" s="115" t="s">
        <v>392</v>
      </c>
      <c r="B49" s="114"/>
      <c r="C49" s="105" t="s">
        <v>133</v>
      </c>
      <c r="D49" s="105" t="s">
        <v>134</v>
      </c>
      <c r="E49" s="105" t="s">
        <v>135</v>
      </c>
      <c r="F49" s="105" t="s">
        <v>136</v>
      </c>
      <c r="G49" s="105" t="s">
        <v>137</v>
      </c>
      <c r="H49" s="105" t="s">
        <v>138</v>
      </c>
      <c r="I49" s="105" t="s">
        <v>139</v>
      </c>
      <c r="J49" s="105" t="s">
        <v>140</v>
      </c>
      <c r="K49" s="105" t="s">
        <v>313</v>
      </c>
    </row>
    <row r="50" spans="1:11" ht="15" customHeight="1" x14ac:dyDescent="0.2">
      <c r="A50" s="1" t="s">
        <v>393</v>
      </c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" customHeight="1" x14ac:dyDescent="0.2">
      <c r="A51" s="12" t="s">
        <v>394</v>
      </c>
      <c r="B51" s="3"/>
      <c r="C51" s="116">
        <f t="shared" ref="C51:J51" si="12">C17</f>
        <v>3416424</v>
      </c>
      <c r="D51" s="116">
        <f t="shared" si="12"/>
        <v>3639374</v>
      </c>
      <c r="E51" s="116">
        <f t="shared" si="12"/>
        <v>3851022</v>
      </c>
      <c r="F51" s="116">
        <f t="shared" si="12"/>
        <v>4220234</v>
      </c>
      <c r="G51" s="116">
        <f t="shared" si="12"/>
        <v>4403512</v>
      </c>
      <c r="H51" s="116">
        <f t="shared" si="12"/>
        <v>4833178</v>
      </c>
      <c r="I51" s="116">
        <f t="shared" si="12"/>
        <v>5154078</v>
      </c>
      <c r="J51" s="116">
        <f t="shared" si="12"/>
        <v>5491322</v>
      </c>
      <c r="K51" s="6">
        <f t="shared" ref="K51:K55" si="13">SUM(C51:J51)</f>
        <v>35009144</v>
      </c>
    </row>
    <row r="52" spans="1:11" ht="15" customHeight="1" x14ac:dyDescent="0.2">
      <c r="A52" s="12" t="s">
        <v>395</v>
      </c>
      <c r="B52" s="3"/>
      <c r="C52" s="116">
        <f t="shared" ref="C52:J52" si="14">-C25</f>
        <v>-1088022.5</v>
      </c>
      <c r="D52" s="116">
        <f t="shared" si="14"/>
        <v>-1194784.3699999999</v>
      </c>
      <c r="E52" s="116">
        <f t="shared" si="14"/>
        <v>-1309017.1688000003</v>
      </c>
      <c r="F52" s="116">
        <f t="shared" si="14"/>
        <v>-1447785.5023160002</v>
      </c>
      <c r="G52" s="116">
        <f t="shared" si="14"/>
        <v>-1576473.6969540799</v>
      </c>
      <c r="H52" s="116">
        <f t="shared" si="14"/>
        <v>-1611686.1460105374</v>
      </c>
      <c r="I52" s="116">
        <f t="shared" si="14"/>
        <v>-1651106.3353344544</v>
      </c>
      <c r="J52" s="116">
        <f t="shared" si="14"/>
        <v>-1680194.5024963371</v>
      </c>
      <c r="K52" s="6">
        <f t="shared" si="13"/>
        <v>-11559070.22191141</v>
      </c>
    </row>
    <row r="53" spans="1:11" ht="15" customHeight="1" x14ac:dyDescent="0.2">
      <c r="A53" s="12" t="s">
        <v>396</v>
      </c>
      <c r="B53" s="3"/>
      <c r="C53" s="116">
        <f t="shared" ref="C53:J53" si="15">-C37</f>
        <v>-1137888.4667700001</v>
      </c>
      <c r="D53" s="116">
        <f t="shared" si="15"/>
        <v>-1246909.7581799999</v>
      </c>
      <c r="E53" s="116">
        <f t="shared" si="15"/>
        <v>-1473530.8557600002</v>
      </c>
      <c r="F53" s="116">
        <f t="shared" si="15"/>
        <v>-1610388.99294</v>
      </c>
      <c r="G53" s="116">
        <f t="shared" si="15"/>
        <v>-1872820.52991</v>
      </c>
      <c r="H53" s="116">
        <f t="shared" si="15"/>
        <v>-2119059.2497695005</v>
      </c>
      <c r="I53" s="116">
        <f t="shared" si="15"/>
        <v>-2421877.0762372506</v>
      </c>
      <c r="J53" s="116">
        <f t="shared" si="15"/>
        <v>-2619147.9612620627</v>
      </c>
      <c r="K53" s="6">
        <f t="shared" si="13"/>
        <v>-14501622.890828812</v>
      </c>
    </row>
    <row r="54" spans="1:11" ht="15" customHeight="1" x14ac:dyDescent="0.2">
      <c r="A54" s="12" t="s">
        <v>397</v>
      </c>
      <c r="B54" s="3"/>
      <c r="C54" s="116">
        <f t="shared" ref="C54:J54" si="16">-C45</f>
        <v>-73396.172990699997</v>
      </c>
      <c r="D54" s="116">
        <f t="shared" si="16"/>
        <v>-74041.18846379999</v>
      </c>
      <c r="E54" s="116">
        <f t="shared" si="16"/>
        <v>-62412.657789599973</v>
      </c>
      <c r="F54" s="116">
        <f t="shared" si="16"/>
        <v>-70835.355426959999</v>
      </c>
      <c r="G54" s="116">
        <f t="shared" si="16"/>
        <v>-52129.599582232804</v>
      </c>
      <c r="H54" s="116">
        <f t="shared" si="16"/>
        <v>-65468.93437979657</v>
      </c>
      <c r="I54" s="116">
        <f t="shared" si="16"/>
        <v>-63548.512958546526</v>
      </c>
      <c r="J54" s="116">
        <f t="shared" si="16"/>
        <v>-73528.158261744029</v>
      </c>
      <c r="K54" s="6">
        <f t="shared" si="13"/>
        <v>-535360.57985337987</v>
      </c>
    </row>
    <row r="55" spans="1:11" ht="15" customHeight="1" x14ac:dyDescent="0.2">
      <c r="A55" s="12" t="s">
        <v>398</v>
      </c>
      <c r="B55" s="3"/>
      <c r="C55" s="116">
        <f t="shared" ref="C55:J55" si="17">C20</f>
        <v>884350</v>
      </c>
      <c r="D55" s="116">
        <f t="shared" si="17"/>
        <v>969697.48</v>
      </c>
      <c r="E55" s="116">
        <f t="shared" si="17"/>
        <v>1062884.0272000001</v>
      </c>
      <c r="F55" s="116">
        <f t="shared" si="17"/>
        <v>1174414.865584</v>
      </c>
      <c r="G55" s="116">
        <f t="shared" si="17"/>
        <v>1278547.0042403198</v>
      </c>
      <c r="H55" s="116">
        <f t="shared" si="17"/>
        <v>1307818.3944947582</v>
      </c>
      <c r="I55" s="116">
        <f t="shared" si="17"/>
        <v>1340810.4487295162</v>
      </c>
      <c r="J55" s="116">
        <f t="shared" si="17"/>
        <v>1364303.3680042792</v>
      </c>
      <c r="K55" s="6">
        <f t="shared" si="13"/>
        <v>9382825.5882528722</v>
      </c>
    </row>
    <row r="56" spans="1:11" ht="15" customHeight="1" thickBot="1" x14ac:dyDescent="0.25">
      <c r="A56" s="15" t="s">
        <v>399</v>
      </c>
      <c r="B56" s="117"/>
      <c r="C56" s="17">
        <f t="shared" ref="C56:J56" si="18">SUM(C51:C55)</f>
        <v>2001466.8602392999</v>
      </c>
      <c r="D56" s="17">
        <f t="shared" si="18"/>
        <v>2093336.1633562001</v>
      </c>
      <c r="E56" s="17">
        <f t="shared" si="18"/>
        <v>2068945.3448504</v>
      </c>
      <c r="F56" s="17">
        <f t="shared" si="18"/>
        <v>2265639.0149010401</v>
      </c>
      <c r="G56" s="17">
        <f t="shared" si="18"/>
        <v>2180635.1777940071</v>
      </c>
      <c r="H56" s="17">
        <f t="shared" si="18"/>
        <v>2344782.0643349234</v>
      </c>
      <c r="I56" s="17">
        <f t="shared" si="18"/>
        <v>2358356.5241992646</v>
      </c>
      <c r="J56" s="17">
        <f t="shared" si="18"/>
        <v>2482754.7459841352</v>
      </c>
      <c r="K56" s="17">
        <f>SUM(C56:J56)</f>
        <v>17795915.895659268</v>
      </c>
    </row>
    <row r="57" spans="1:11" ht="15" customHeight="1" x14ac:dyDescent="0.2">
      <c r="A57" s="1" t="s">
        <v>400</v>
      </c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" customHeight="1" x14ac:dyDescent="0.2">
      <c r="A58" s="12" t="s">
        <v>401</v>
      </c>
      <c r="B58" s="3"/>
      <c r="C58" s="116">
        <f>-'CapEx &amp; Storage'!E18</f>
        <v>-6658100</v>
      </c>
      <c r="D58" s="116">
        <f>-'CapEx &amp; Storage'!F18</f>
        <v>-764286</v>
      </c>
      <c r="E58" s="116">
        <f>-'CapEx &amp; Storage'!G18</f>
        <v>-708928.56</v>
      </c>
      <c r="F58" s="116">
        <f>-'CapEx &amp; Storage'!H18</f>
        <v>-884516.8679999999</v>
      </c>
      <c r="G58" s="116">
        <f>-'CapEx &amp; Storage'!I18</f>
        <v>-955787.59727999987</v>
      </c>
      <c r="H58" s="116">
        <f>-'CapEx &amp; Storage'!J18</f>
        <v>0</v>
      </c>
      <c r="I58" s="116">
        <f>-'CapEx &amp; Storage'!K18</f>
        <v>0</v>
      </c>
      <c r="J58" s="116">
        <f>-'CapEx &amp; Storage'!L18</f>
        <v>0</v>
      </c>
      <c r="K58" s="6">
        <f t="shared" ref="K58:K62" si="19">SUM(C58:J58)</f>
        <v>-9971619.0252800006</v>
      </c>
    </row>
    <row r="59" spans="1:11" ht="15" customHeight="1" x14ac:dyDescent="0.2">
      <c r="A59" s="12" t="s">
        <v>402</v>
      </c>
      <c r="B59" s="3"/>
      <c r="C59" s="116">
        <f>-'CapEx &amp; Storage'!E19</f>
        <v>-1040000</v>
      </c>
      <c r="D59" s="116">
        <f>-'CapEx &amp; Storage'!F19</f>
        <v>-81600</v>
      </c>
      <c r="E59" s="116">
        <f>-'CapEx &amp; Storage'!G19</f>
        <v>-83232</v>
      </c>
      <c r="F59" s="116">
        <f>-'CapEx &amp; Storage'!H19</f>
        <v>-169793.28</v>
      </c>
      <c r="G59" s="116">
        <f>-'CapEx &amp; Storage'!I19</f>
        <v>0</v>
      </c>
      <c r="H59" s="116">
        <f>-'CapEx &amp; Storage'!J19</f>
        <v>-176652.92851200001</v>
      </c>
      <c r="I59" s="116">
        <f>-'CapEx &amp; Storage'!K19</f>
        <v>-180185.98708224</v>
      </c>
      <c r="J59" s="116">
        <f>-'CapEx &amp; Storage'!L19</f>
        <v>-183789.70682388477</v>
      </c>
      <c r="K59" s="6">
        <f t="shared" si="19"/>
        <v>-1915253.9024181247</v>
      </c>
    </row>
    <row r="60" spans="1:11" ht="15" customHeight="1" x14ac:dyDescent="0.2">
      <c r="A60" s="12" t="s">
        <v>403</v>
      </c>
      <c r="B60" s="3"/>
      <c r="C60" s="116">
        <f>-'CapEx &amp; Storage'!E20</f>
        <v>-690000</v>
      </c>
      <c r="D60" s="116">
        <f>-'CapEx &amp; Storage'!F20</f>
        <v>-33048</v>
      </c>
      <c r="E60" s="116">
        <f>-'CapEx &amp; Storage'!G20</f>
        <v>-104872.31999999999</v>
      </c>
      <c r="F60" s="116">
        <f>-'CapEx &amp; Storage'!H20</f>
        <v>-65582.654399999999</v>
      </c>
      <c r="G60" s="116">
        <f>-'CapEx &amp; Storage'!I20</f>
        <v>-46761.069312</v>
      </c>
      <c r="H60" s="116">
        <f>-'CapEx &amp; Storage'!J20</f>
        <v>-153688.04780544</v>
      </c>
      <c r="I60" s="116">
        <f>-'CapEx &amp; Storage'!K20</f>
        <v>-132436.70050544641</v>
      </c>
      <c r="J60" s="116">
        <f>-'CapEx &amp; Storage'!L20</f>
        <v>-108206.18989256216</v>
      </c>
      <c r="K60" s="6">
        <f t="shared" si="19"/>
        <v>-1334594.9819154483</v>
      </c>
    </row>
    <row r="61" spans="1:11" ht="15" customHeight="1" x14ac:dyDescent="0.2">
      <c r="A61" s="12" t="s">
        <v>404</v>
      </c>
      <c r="B61" s="3"/>
      <c r="C61" s="116">
        <f>-'CapEx &amp; Storage'!E21</f>
        <v>-1184000</v>
      </c>
      <c r="D61" s="116">
        <f>-'CapEx &amp; Storage'!F21</f>
        <v>-20400</v>
      </c>
      <c r="E61" s="116">
        <f>-'CapEx &amp; Storage'!G21</f>
        <v>-91555.199999999997</v>
      </c>
      <c r="F61" s="116">
        <f>-'CapEx &amp; Storage'!H21</f>
        <v>-89141.471999999994</v>
      </c>
      <c r="G61" s="116">
        <f>-'CapEx &amp; Storage'!I21</f>
        <v>-64945.929599999996</v>
      </c>
      <c r="H61" s="116">
        <f>-'CapEx &amp; Storage'!J21</f>
        <v>-128073.3731712</v>
      </c>
      <c r="I61" s="116">
        <f>-'CapEx &amp; Storage'!K21</f>
        <v>-207213.88514457602</v>
      </c>
      <c r="J61" s="116">
        <f>-'CapEx &amp; Storage'!L21</f>
        <v>-68921.140058956793</v>
      </c>
      <c r="K61" s="6">
        <f t="shared" si="19"/>
        <v>-1854250.9999747328</v>
      </c>
    </row>
    <row r="62" spans="1:11" ht="15" customHeight="1" x14ac:dyDescent="0.2">
      <c r="A62" s="12" t="s">
        <v>405</v>
      </c>
      <c r="B62" s="3"/>
      <c r="C62" s="116">
        <f>-'CapEx &amp; Storage'!E22</f>
        <v>-370000</v>
      </c>
      <c r="D62" s="116">
        <f>-'CapEx &amp; Storage'!F22</f>
        <v>0</v>
      </c>
      <c r="E62" s="116">
        <f>-'CapEx &amp; Storage'!G22</f>
        <v>-52020</v>
      </c>
      <c r="F62" s="116">
        <f>-'CapEx &amp; Storage'!H22</f>
        <v>-21224.16</v>
      </c>
      <c r="G62" s="116">
        <f>-'CapEx &amp; Storage'!I22</f>
        <v>-20566.211039999998</v>
      </c>
      <c r="H62" s="116">
        <f>-'CapEx &amp; Storage'!J22</f>
        <v>-23185.6968672</v>
      </c>
      <c r="I62" s="116">
        <f>-'CapEx &amp; Storage'!K22</f>
        <v>-45046.496770559999</v>
      </c>
      <c r="J62" s="116">
        <f>-'CapEx &amp; Storage'!L22</f>
        <v>-22973.713352985596</v>
      </c>
      <c r="K62" s="6">
        <f t="shared" si="19"/>
        <v>-555016.27803074557</v>
      </c>
    </row>
    <row r="63" spans="1:11" ht="15" customHeight="1" thickBot="1" x14ac:dyDescent="0.25">
      <c r="A63" s="15" t="s">
        <v>406</v>
      </c>
      <c r="B63" s="117"/>
      <c r="C63" s="17">
        <f t="shared" ref="C63:J63" si="20">SUM(C58:C62)</f>
        <v>-9942100</v>
      </c>
      <c r="D63" s="17">
        <f t="shared" si="20"/>
        <v>-899334</v>
      </c>
      <c r="E63" s="17">
        <f t="shared" si="20"/>
        <v>-1040608.08</v>
      </c>
      <c r="F63" s="17">
        <f t="shared" si="20"/>
        <v>-1230258.4343999999</v>
      </c>
      <c r="G63" s="17">
        <f t="shared" si="20"/>
        <v>-1088060.8072319997</v>
      </c>
      <c r="H63" s="17">
        <f t="shared" si="20"/>
        <v>-481600.04635584005</v>
      </c>
      <c r="I63" s="17">
        <f t="shared" si="20"/>
        <v>-564883.06950282247</v>
      </c>
      <c r="J63" s="17">
        <f t="shared" si="20"/>
        <v>-383890.75012838939</v>
      </c>
      <c r="K63" s="17">
        <f>SUM(C63:J63)</f>
        <v>-15630735.187619053</v>
      </c>
    </row>
    <row r="64" spans="1:11" ht="15" customHeight="1" x14ac:dyDescent="0.2">
      <c r="A64" s="1" t="s">
        <v>407</v>
      </c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" customHeight="1" x14ac:dyDescent="0.2">
      <c r="A65" s="12" t="s">
        <v>408</v>
      </c>
      <c r="B65" s="3"/>
      <c r="C65" s="121">
        <v>4470950</v>
      </c>
      <c r="D65" s="26"/>
      <c r="E65" s="26"/>
      <c r="F65" s="26"/>
      <c r="G65" s="26"/>
      <c r="H65" s="26"/>
      <c r="I65" s="26"/>
      <c r="J65" s="26"/>
      <c r="K65" s="26"/>
    </row>
    <row r="66" spans="1:11" ht="15" customHeight="1" x14ac:dyDescent="0.2">
      <c r="A66" s="12" t="s">
        <v>409</v>
      </c>
      <c r="B66" s="3"/>
      <c r="C66" s="122">
        <v>5000000</v>
      </c>
      <c r="D66" s="26"/>
      <c r="E66" s="26"/>
      <c r="F66" s="26"/>
      <c r="G66" s="26"/>
      <c r="H66" s="26"/>
      <c r="I66" s="26"/>
      <c r="J66" s="26"/>
      <c r="K66" s="26"/>
    </row>
    <row r="67" spans="1:11" ht="15" customHeight="1" x14ac:dyDescent="0.2">
      <c r="A67" s="12" t="s">
        <v>410</v>
      </c>
      <c r="B67" s="3"/>
      <c r="C67" s="26"/>
      <c r="D67" s="121">
        <v>-1000000</v>
      </c>
      <c r="E67" s="121">
        <v>-1000000</v>
      </c>
      <c r="F67" s="121">
        <v>-1000000</v>
      </c>
      <c r="G67" s="121">
        <v>-1000000</v>
      </c>
      <c r="H67" s="121">
        <v>-1000000</v>
      </c>
      <c r="I67" s="26"/>
      <c r="J67" s="26"/>
      <c r="K67" s="26"/>
    </row>
    <row r="68" spans="1:11" ht="15" customHeight="1" thickBot="1" x14ac:dyDescent="0.25">
      <c r="A68" s="15" t="s">
        <v>406</v>
      </c>
      <c r="B68" s="117"/>
      <c r="C68" s="17">
        <f t="shared" ref="C68:J68" si="21">SUM(C65:C67)</f>
        <v>9470950</v>
      </c>
      <c r="D68" s="17">
        <f t="shared" si="21"/>
        <v>-1000000</v>
      </c>
      <c r="E68" s="17">
        <f t="shared" si="21"/>
        <v>-1000000</v>
      </c>
      <c r="F68" s="17">
        <f t="shared" si="21"/>
        <v>-1000000</v>
      </c>
      <c r="G68" s="17">
        <f t="shared" si="21"/>
        <v>-1000000</v>
      </c>
      <c r="H68" s="17">
        <f t="shared" si="21"/>
        <v>-1000000</v>
      </c>
      <c r="I68" s="17">
        <f t="shared" si="21"/>
        <v>0</v>
      </c>
      <c r="J68" s="17">
        <f t="shared" si="21"/>
        <v>0</v>
      </c>
      <c r="K68" s="17">
        <f>SUM(C68:G68)</f>
        <v>5470950</v>
      </c>
    </row>
    <row r="69" spans="1:11" ht="15" customHeight="1" x14ac:dyDescent="0.2"/>
    <row r="70" spans="1:11" ht="16" customHeight="1" thickBot="1" x14ac:dyDescent="0.25">
      <c r="A70" s="15" t="s">
        <v>411</v>
      </c>
      <c r="B70" s="117"/>
      <c r="C70" s="17">
        <f t="shared" ref="C70:J70" si="22">C68+C63+C56</f>
        <v>1530316.8602392999</v>
      </c>
      <c r="D70" s="17">
        <f t="shared" si="22"/>
        <v>194002.16335620009</v>
      </c>
      <c r="E70" s="17">
        <f t="shared" si="22"/>
        <v>28337.264850399923</v>
      </c>
      <c r="F70" s="17">
        <f t="shared" si="22"/>
        <v>35380.580501040444</v>
      </c>
      <c r="G70" s="17">
        <f t="shared" si="22"/>
        <v>92574.370562007418</v>
      </c>
      <c r="H70" s="17">
        <f t="shared" si="22"/>
        <v>863182.01797908335</v>
      </c>
      <c r="I70" s="17">
        <f t="shared" si="22"/>
        <v>1793473.454696442</v>
      </c>
      <c r="J70" s="17">
        <f t="shared" si="22"/>
        <v>2098863.9958557459</v>
      </c>
      <c r="K70" s="17">
        <f>K56+K63</f>
        <v>2165180.7080402151</v>
      </c>
    </row>
    <row r="71" spans="1:11" x14ac:dyDescent="0.2">
      <c r="A71" s="9" t="s">
        <v>412</v>
      </c>
      <c r="B71" s="3"/>
      <c r="C71" s="123">
        <v>0</v>
      </c>
      <c r="D71" s="11">
        <f t="shared" ref="D71:J71" si="23">C72</f>
        <v>1530316.8602392999</v>
      </c>
      <c r="E71" s="11">
        <f t="shared" si="23"/>
        <v>1724319.0235955</v>
      </c>
      <c r="F71" s="11">
        <f t="shared" si="23"/>
        <v>1752656.2884459</v>
      </c>
      <c r="G71" s="11">
        <f t="shared" si="23"/>
        <v>1788036.8689469404</v>
      </c>
      <c r="H71" s="11">
        <f t="shared" si="23"/>
        <v>1880611.2395089478</v>
      </c>
      <c r="I71" s="11">
        <f t="shared" si="23"/>
        <v>2743793.2574880309</v>
      </c>
      <c r="J71" s="11">
        <f t="shared" si="23"/>
        <v>4537266.7121844729</v>
      </c>
      <c r="K71" s="11"/>
    </row>
    <row r="72" spans="1:11" x14ac:dyDescent="0.2">
      <c r="A72" s="12" t="s">
        <v>413</v>
      </c>
      <c r="B72" s="3"/>
      <c r="C72" s="11">
        <f t="shared" ref="C72:J72" si="24">C71+C70</f>
        <v>1530316.8602392999</v>
      </c>
      <c r="D72" s="11">
        <f t="shared" si="24"/>
        <v>1724319.0235955</v>
      </c>
      <c r="E72" s="11">
        <f t="shared" si="24"/>
        <v>1752656.2884459</v>
      </c>
      <c r="F72" s="11">
        <f t="shared" si="24"/>
        <v>1788036.8689469404</v>
      </c>
      <c r="G72" s="11">
        <f t="shared" si="24"/>
        <v>1880611.2395089478</v>
      </c>
      <c r="H72" s="11">
        <f t="shared" si="24"/>
        <v>2743793.2574880309</v>
      </c>
      <c r="I72" s="11">
        <f t="shared" si="24"/>
        <v>4537266.7121844729</v>
      </c>
      <c r="J72" s="11">
        <f t="shared" si="24"/>
        <v>6636130.7080402188</v>
      </c>
      <c r="K72" s="11"/>
    </row>
    <row r="73" spans="1:11" x14ac:dyDescent="0.2">
      <c r="B73" s="1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1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s="136">
        <v>0.5</v>
      </c>
      <c r="E1" s="136">
        <v>0.75</v>
      </c>
      <c r="F1" s="136">
        <v>0.85</v>
      </c>
      <c r="G1" s="136">
        <v>0.95</v>
      </c>
      <c r="H1" t="s">
        <v>3</v>
      </c>
      <c r="I1" t="s">
        <v>4</v>
      </c>
      <c r="J1" t="s">
        <v>5</v>
      </c>
      <c r="K1" t="s">
        <v>6</v>
      </c>
    </row>
    <row r="2" spans="1:11" x14ac:dyDescent="0.2">
      <c r="A2">
        <v>1</v>
      </c>
      <c r="B2">
        <v>0</v>
      </c>
      <c r="C2" t="s">
        <v>7</v>
      </c>
      <c r="D2">
        <v>56</v>
      </c>
      <c r="E2">
        <v>72</v>
      </c>
      <c r="F2">
        <v>80</v>
      </c>
      <c r="G2">
        <v>91</v>
      </c>
      <c r="H2">
        <v>2779</v>
      </c>
      <c r="I2">
        <v>2778</v>
      </c>
      <c r="J2">
        <v>5.99871826171875</v>
      </c>
      <c r="K2">
        <v>6</v>
      </c>
    </row>
    <row r="3" spans="1:11" x14ac:dyDescent="0.2">
      <c r="A3">
        <v>1</v>
      </c>
      <c r="B3">
        <v>0</v>
      </c>
      <c r="C3" t="s">
        <v>8</v>
      </c>
      <c r="D3">
        <v>26</v>
      </c>
      <c r="E3">
        <v>34</v>
      </c>
      <c r="F3">
        <v>36</v>
      </c>
      <c r="G3">
        <v>42</v>
      </c>
      <c r="H3">
        <v>1590</v>
      </c>
      <c r="I3">
        <v>1570</v>
      </c>
      <c r="J3">
        <v>5.99871826171875</v>
      </c>
      <c r="K3">
        <v>6</v>
      </c>
    </row>
    <row r="4" spans="1:11" x14ac:dyDescent="0.2">
      <c r="A4">
        <v>1</v>
      </c>
      <c r="B4">
        <v>0</v>
      </c>
      <c r="C4" t="s">
        <v>9</v>
      </c>
      <c r="D4">
        <v>1894</v>
      </c>
      <c r="E4">
        <v>2275</v>
      </c>
      <c r="F4">
        <v>2300</v>
      </c>
      <c r="G4">
        <v>2594</v>
      </c>
      <c r="H4">
        <v>125084</v>
      </c>
      <c r="I4">
        <v>124560</v>
      </c>
      <c r="J4">
        <v>5.99871826171875</v>
      </c>
      <c r="K4">
        <v>6</v>
      </c>
    </row>
    <row r="5" spans="1:11" x14ac:dyDescent="0.2">
      <c r="A5">
        <v>1</v>
      </c>
      <c r="B5">
        <v>0</v>
      </c>
      <c r="C5" t="s">
        <v>10</v>
      </c>
      <c r="D5">
        <v>1910</v>
      </c>
      <c r="E5">
        <v>2490</v>
      </c>
      <c r="F5">
        <v>2960</v>
      </c>
      <c r="G5">
        <v>3590</v>
      </c>
      <c r="H5">
        <v>107926</v>
      </c>
      <c r="I5">
        <v>108600</v>
      </c>
      <c r="J5">
        <v>5.99871826171875</v>
      </c>
      <c r="K5">
        <v>6</v>
      </c>
    </row>
    <row r="6" spans="1:11" x14ac:dyDescent="0.2">
      <c r="A6">
        <v>1</v>
      </c>
      <c r="B6">
        <v>0</v>
      </c>
      <c r="C6" t="s">
        <v>11</v>
      </c>
      <c r="D6">
        <v>480</v>
      </c>
      <c r="E6">
        <v>680</v>
      </c>
      <c r="F6">
        <v>740</v>
      </c>
      <c r="G6">
        <v>880</v>
      </c>
      <c r="H6">
        <v>43459</v>
      </c>
      <c r="I6">
        <v>36540</v>
      </c>
      <c r="J6">
        <v>5.99871826171875</v>
      </c>
      <c r="K6">
        <v>6</v>
      </c>
    </row>
    <row r="7" spans="1:11" x14ac:dyDescent="0.2">
      <c r="A7">
        <v>2</v>
      </c>
      <c r="B7">
        <v>1</v>
      </c>
      <c r="C7" t="s">
        <v>7</v>
      </c>
      <c r="D7">
        <v>58</v>
      </c>
      <c r="E7">
        <v>75</v>
      </c>
      <c r="F7">
        <v>83</v>
      </c>
      <c r="G7">
        <v>97</v>
      </c>
      <c r="H7">
        <v>2941</v>
      </c>
      <c r="I7">
        <v>2941</v>
      </c>
      <c r="J7">
        <v>6.4988317489624023</v>
      </c>
      <c r="K7">
        <v>6</v>
      </c>
    </row>
    <row r="8" spans="1:11" x14ac:dyDescent="0.2">
      <c r="A8">
        <v>2</v>
      </c>
      <c r="B8">
        <v>1</v>
      </c>
      <c r="C8" t="s">
        <v>8</v>
      </c>
      <c r="D8">
        <v>28</v>
      </c>
      <c r="E8">
        <v>34</v>
      </c>
      <c r="F8">
        <v>38</v>
      </c>
      <c r="G8">
        <v>44</v>
      </c>
      <c r="H8">
        <v>1664</v>
      </c>
      <c r="I8">
        <v>1660</v>
      </c>
      <c r="J8">
        <v>6.4988317489624023</v>
      </c>
      <c r="K8">
        <v>6</v>
      </c>
    </row>
    <row r="9" spans="1:11" x14ac:dyDescent="0.2">
      <c r="A9">
        <v>2</v>
      </c>
      <c r="B9">
        <v>1</v>
      </c>
      <c r="C9" t="s">
        <v>9</v>
      </c>
      <c r="D9">
        <v>1950</v>
      </c>
      <c r="E9">
        <v>2275</v>
      </c>
      <c r="F9">
        <v>2408</v>
      </c>
      <c r="G9">
        <v>2800</v>
      </c>
      <c r="H9">
        <v>132611</v>
      </c>
      <c r="I9">
        <v>132060</v>
      </c>
      <c r="J9">
        <v>6.4988317489624023</v>
      </c>
      <c r="K9">
        <v>6</v>
      </c>
    </row>
    <row r="10" spans="1:11" x14ac:dyDescent="0.2">
      <c r="A10">
        <v>2</v>
      </c>
      <c r="B10">
        <v>1</v>
      </c>
      <c r="C10" t="s">
        <v>10</v>
      </c>
      <c r="D10">
        <v>1940</v>
      </c>
      <c r="E10">
        <v>2680</v>
      </c>
      <c r="F10">
        <v>3010</v>
      </c>
      <c r="G10">
        <v>3590</v>
      </c>
      <c r="H10">
        <v>113906</v>
      </c>
      <c r="I10">
        <v>114000</v>
      </c>
      <c r="J10">
        <v>6.4988317489624023</v>
      </c>
      <c r="K10">
        <v>6</v>
      </c>
    </row>
    <row r="11" spans="1:11" x14ac:dyDescent="0.2">
      <c r="A11">
        <v>2</v>
      </c>
      <c r="B11">
        <v>1</v>
      </c>
      <c r="C11" t="s">
        <v>11</v>
      </c>
      <c r="D11">
        <v>540</v>
      </c>
      <c r="E11">
        <v>680</v>
      </c>
      <c r="F11">
        <v>740</v>
      </c>
      <c r="G11">
        <v>918</v>
      </c>
      <c r="H11">
        <v>44961</v>
      </c>
      <c r="I11">
        <v>39540</v>
      </c>
      <c r="J11">
        <v>6.4988317489624023</v>
      </c>
      <c r="K11">
        <v>6</v>
      </c>
    </row>
    <row r="12" spans="1:11" x14ac:dyDescent="0.2">
      <c r="A12">
        <v>3</v>
      </c>
      <c r="B12">
        <v>1</v>
      </c>
      <c r="C12" t="s">
        <v>7</v>
      </c>
      <c r="D12">
        <v>65</v>
      </c>
      <c r="E12">
        <v>81</v>
      </c>
      <c r="F12">
        <v>90</v>
      </c>
      <c r="G12">
        <v>104</v>
      </c>
      <c r="H12">
        <v>3104</v>
      </c>
      <c r="I12">
        <v>3105</v>
      </c>
      <c r="J12">
        <v>7.0027966499328613</v>
      </c>
      <c r="K12">
        <v>7</v>
      </c>
    </row>
    <row r="13" spans="1:11" x14ac:dyDescent="0.2">
      <c r="A13">
        <v>3</v>
      </c>
      <c r="B13">
        <v>1</v>
      </c>
      <c r="C13" t="s">
        <v>8</v>
      </c>
      <c r="D13">
        <v>30</v>
      </c>
      <c r="E13">
        <v>38</v>
      </c>
      <c r="F13">
        <v>40</v>
      </c>
      <c r="G13">
        <v>46</v>
      </c>
      <c r="H13">
        <v>1738</v>
      </c>
      <c r="I13">
        <v>1732</v>
      </c>
      <c r="J13">
        <v>7.0027966499328613</v>
      </c>
      <c r="K13">
        <v>7</v>
      </c>
    </row>
    <row r="14" spans="1:11" x14ac:dyDescent="0.2">
      <c r="A14">
        <v>3</v>
      </c>
      <c r="B14">
        <v>1</v>
      </c>
      <c r="C14" t="s">
        <v>9</v>
      </c>
      <c r="D14">
        <v>2264</v>
      </c>
      <c r="E14">
        <v>2450</v>
      </c>
      <c r="F14">
        <v>2744</v>
      </c>
      <c r="G14">
        <v>3094</v>
      </c>
      <c r="H14">
        <v>140136</v>
      </c>
      <c r="I14">
        <v>140280</v>
      </c>
      <c r="J14">
        <v>7.0027966499328613</v>
      </c>
      <c r="K14">
        <v>7</v>
      </c>
    </row>
    <row r="15" spans="1:11" x14ac:dyDescent="0.2">
      <c r="A15">
        <v>3</v>
      </c>
      <c r="B15">
        <v>1</v>
      </c>
      <c r="C15" t="s">
        <v>10</v>
      </c>
      <c r="D15">
        <v>2260</v>
      </c>
      <c r="E15">
        <v>2860</v>
      </c>
      <c r="F15">
        <v>3230</v>
      </c>
      <c r="G15">
        <v>3630</v>
      </c>
      <c r="H15">
        <v>119937</v>
      </c>
      <c r="I15">
        <v>119760</v>
      </c>
      <c r="J15">
        <v>7.0027966499328613</v>
      </c>
      <c r="K15">
        <v>7</v>
      </c>
    </row>
    <row r="16" spans="1:11" x14ac:dyDescent="0.2">
      <c r="A16">
        <v>3</v>
      </c>
      <c r="B16">
        <v>1</v>
      </c>
      <c r="C16" t="s">
        <v>11</v>
      </c>
      <c r="D16">
        <v>580</v>
      </c>
      <c r="E16">
        <v>740</v>
      </c>
      <c r="F16">
        <v>840</v>
      </c>
      <c r="G16">
        <v>958</v>
      </c>
      <c r="H16">
        <v>46473</v>
      </c>
      <c r="I16">
        <v>42540</v>
      </c>
      <c r="J16">
        <v>7.0027966499328613</v>
      </c>
      <c r="K16">
        <v>7</v>
      </c>
    </row>
    <row r="17" spans="1:11" x14ac:dyDescent="0.2">
      <c r="A17">
        <v>4</v>
      </c>
      <c r="B17">
        <v>1</v>
      </c>
      <c r="C17" t="s">
        <v>7</v>
      </c>
      <c r="D17">
        <v>71</v>
      </c>
      <c r="E17">
        <v>89</v>
      </c>
      <c r="F17">
        <v>97</v>
      </c>
      <c r="G17">
        <v>112</v>
      </c>
      <c r="H17">
        <v>3267</v>
      </c>
      <c r="I17">
        <v>3267</v>
      </c>
      <c r="J17">
        <v>7.4983177185058594</v>
      </c>
      <c r="K17">
        <v>7</v>
      </c>
    </row>
    <row r="18" spans="1:11" x14ac:dyDescent="0.2">
      <c r="A18">
        <v>4</v>
      </c>
      <c r="B18">
        <v>1</v>
      </c>
      <c r="C18" t="s">
        <v>8</v>
      </c>
      <c r="D18">
        <v>34</v>
      </c>
      <c r="E18">
        <v>40</v>
      </c>
      <c r="F18">
        <v>44</v>
      </c>
      <c r="G18">
        <v>50</v>
      </c>
      <c r="H18">
        <v>1814</v>
      </c>
      <c r="I18">
        <v>1822</v>
      </c>
      <c r="J18">
        <v>7.4983177185058594</v>
      </c>
      <c r="K18">
        <v>7</v>
      </c>
    </row>
    <row r="19" spans="1:11" x14ac:dyDescent="0.2">
      <c r="A19">
        <v>4</v>
      </c>
      <c r="B19">
        <v>1</v>
      </c>
      <c r="C19" t="s">
        <v>9</v>
      </c>
      <c r="D19">
        <v>2275</v>
      </c>
      <c r="E19">
        <v>2744</v>
      </c>
      <c r="F19">
        <v>2950</v>
      </c>
      <c r="G19">
        <v>3444</v>
      </c>
      <c r="H19">
        <v>147536</v>
      </c>
      <c r="I19">
        <v>147060</v>
      </c>
      <c r="J19">
        <v>7.4983177185058594</v>
      </c>
      <c r="K19">
        <v>7</v>
      </c>
    </row>
    <row r="20" spans="1:11" x14ac:dyDescent="0.2">
      <c r="A20">
        <v>4</v>
      </c>
      <c r="B20">
        <v>1</v>
      </c>
      <c r="C20" t="s">
        <v>10</v>
      </c>
      <c r="D20">
        <v>2410</v>
      </c>
      <c r="E20">
        <v>3080</v>
      </c>
      <c r="F20">
        <v>3440</v>
      </c>
      <c r="G20">
        <v>3990</v>
      </c>
      <c r="H20">
        <v>125863</v>
      </c>
      <c r="I20">
        <v>125760</v>
      </c>
      <c r="J20">
        <v>7.4983177185058594</v>
      </c>
      <c r="K20">
        <v>7</v>
      </c>
    </row>
    <row r="21" spans="1:11" x14ac:dyDescent="0.2">
      <c r="A21">
        <v>4</v>
      </c>
      <c r="B21">
        <v>1</v>
      </c>
      <c r="C21" t="s">
        <v>11</v>
      </c>
      <c r="D21">
        <v>640</v>
      </c>
      <c r="E21">
        <v>780</v>
      </c>
      <c r="F21">
        <v>880</v>
      </c>
      <c r="G21">
        <v>1018</v>
      </c>
      <c r="H21">
        <v>48004</v>
      </c>
      <c r="I21">
        <v>50400</v>
      </c>
      <c r="J21">
        <v>7.4983177185058594</v>
      </c>
      <c r="K21">
        <v>7</v>
      </c>
    </row>
    <row r="22" spans="1:11" x14ac:dyDescent="0.2">
      <c r="A22">
        <v>5</v>
      </c>
      <c r="B22">
        <v>2</v>
      </c>
      <c r="C22" t="s">
        <v>7</v>
      </c>
      <c r="D22">
        <v>75</v>
      </c>
      <c r="E22">
        <v>91</v>
      </c>
      <c r="F22">
        <v>100</v>
      </c>
      <c r="G22">
        <v>115</v>
      </c>
      <c r="H22">
        <v>3592</v>
      </c>
      <c r="I22">
        <v>3592</v>
      </c>
      <c r="J22">
        <v>8.5018215179443359</v>
      </c>
      <c r="K22">
        <v>9</v>
      </c>
    </row>
    <row r="23" spans="1:11" x14ac:dyDescent="0.2">
      <c r="A23">
        <v>5</v>
      </c>
      <c r="B23">
        <v>2</v>
      </c>
      <c r="C23" t="s">
        <v>8</v>
      </c>
      <c r="D23">
        <v>34</v>
      </c>
      <c r="E23">
        <v>42</v>
      </c>
      <c r="F23">
        <v>46</v>
      </c>
      <c r="G23">
        <v>52</v>
      </c>
      <c r="H23">
        <v>1963</v>
      </c>
      <c r="I23">
        <v>1960</v>
      </c>
      <c r="J23">
        <v>8.5018215179443359</v>
      </c>
      <c r="K23">
        <v>9</v>
      </c>
    </row>
    <row r="24" spans="1:11" x14ac:dyDescent="0.2">
      <c r="A24">
        <v>5</v>
      </c>
      <c r="B24">
        <v>2</v>
      </c>
      <c r="C24" t="s">
        <v>9</v>
      </c>
      <c r="D24">
        <v>2394</v>
      </c>
      <c r="E24">
        <v>2894</v>
      </c>
      <c r="F24">
        <v>3094</v>
      </c>
      <c r="G24">
        <v>3594</v>
      </c>
      <c r="H24">
        <v>162656</v>
      </c>
      <c r="I24">
        <v>162780</v>
      </c>
      <c r="J24">
        <v>8.5018215179443359</v>
      </c>
      <c r="K24">
        <v>9</v>
      </c>
    </row>
    <row r="25" spans="1:11" x14ac:dyDescent="0.2">
      <c r="A25">
        <v>5</v>
      </c>
      <c r="B25">
        <v>2</v>
      </c>
      <c r="C25" t="s">
        <v>10</v>
      </c>
      <c r="D25">
        <v>2530</v>
      </c>
      <c r="E25">
        <v>3230</v>
      </c>
      <c r="F25">
        <v>3590</v>
      </c>
      <c r="G25">
        <v>4030</v>
      </c>
      <c r="H25">
        <v>137901</v>
      </c>
      <c r="I25">
        <v>138000</v>
      </c>
      <c r="J25">
        <v>8.5018215179443359</v>
      </c>
      <c r="K25">
        <v>9</v>
      </c>
    </row>
    <row r="26" spans="1:11" x14ac:dyDescent="0.2">
      <c r="A26">
        <v>5</v>
      </c>
      <c r="B26">
        <v>2</v>
      </c>
      <c r="C26" t="s">
        <v>11</v>
      </c>
      <c r="D26">
        <v>660</v>
      </c>
      <c r="E26">
        <v>840</v>
      </c>
      <c r="F26">
        <v>918</v>
      </c>
      <c r="G26">
        <v>1040</v>
      </c>
      <c r="H26">
        <v>50978</v>
      </c>
      <c r="I26">
        <v>48540</v>
      </c>
      <c r="J26">
        <v>8.5018215179443359</v>
      </c>
      <c r="K26">
        <v>9</v>
      </c>
    </row>
    <row r="27" spans="1:11" x14ac:dyDescent="0.2">
      <c r="A27">
        <v>6</v>
      </c>
      <c r="B27">
        <v>2</v>
      </c>
      <c r="C27" t="s">
        <v>7</v>
      </c>
      <c r="D27">
        <v>83</v>
      </c>
      <c r="E27">
        <v>101</v>
      </c>
      <c r="F27">
        <v>109</v>
      </c>
      <c r="G27">
        <v>125</v>
      </c>
      <c r="H27">
        <v>3917</v>
      </c>
      <c r="I27">
        <v>3915</v>
      </c>
      <c r="J27">
        <v>9.5001287460327148</v>
      </c>
      <c r="K27">
        <v>9</v>
      </c>
    </row>
    <row r="28" spans="1:11" x14ac:dyDescent="0.2">
      <c r="A28">
        <v>6</v>
      </c>
      <c r="B28">
        <v>2</v>
      </c>
      <c r="C28" t="s">
        <v>8</v>
      </c>
      <c r="D28">
        <v>38</v>
      </c>
      <c r="E28">
        <v>46</v>
      </c>
      <c r="F28">
        <v>50</v>
      </c>
      <c r="G28">
        <v>56</v>
      </c>
      <c r="H28">
        <v>2114</v>
      </c>
      <c r="I28">
        <v>2116</v>
      </c>
      <c r="J28">
        <v>9.5001287460327148</v>
      </c>
      <c r="K28">
        <v>9</v>
      </c>
    </row>
    <row r="29" spans="1:11" x14ac:dyDescent="0.2">
      <c r="A29">
        <v>6</v>
      </c>
      <c r="B29">
        <v>2</v>
      </c>
      <c r="C29" t="s">
        <v>9</v>
      </c>
      <c r="D29">
        <v>2714</v>
      </c>
      <c r="E29">
        <v>3244</v>
      </c>
      <c r="F29">
        <v>3558</v>
      </c>
      <c r="G29">
        <v>3950</v>
      </c>
      <c r="H29">
        <v>177543</v>
      </c>
      <c r="I29">
        <v>177420</v>
      </c>
      <c r="J29">
        <v>9.5001287460327148</v>
      </c>
      <c r="K29">
        <v>9</v>
      </c>
    </row>
    <row r="30" spans="1:11" x14ac:dyDescent="0.2">
      <c r="A30">
        <v>6</v>
      </c>
      <c r="B30">
        <v>2</v>
      </c>
      <c r="C30" t="s">
        <v>10</v>
      </c>
      <c r="D30">
        <v>2860</v>
      </c>
      <c r="E30">
        <v>3540</v>
      </c>
      <c r="F30">
        <v>3880</v>
      </c>
      <c r="G30">
        <v>4430</v>
      </c>
      <c r="H30">
        <v>149799</v>
      </c>
      <c r="I30">
        <v>149760</v>
      </c>
      <c r="J30">
        <v>9.5001287460327148</v>
      </c>
      <c r="K30">
        <v>9</v>
      </c>
    </row>
    <row r="31" spans="1:11" x14ac:dyDescent="0.2">
      <c r="A31">
        <v>6</v>
      </c>
      <c r="B31">
        <v>2</v>
      </c>
      <c r="C31" t="s">
        <v>11</v>
      </c>
      <c r="D31">
        <v>738</v>
      </c>
      <c r="E31">
        <v>880</v>
      </c>
      <c r="F31">
        <v>960</v>
      </c>
      <c r="G31">
        <v>1118</v>
      </c>
      <c r="H31">
        <v>53988</v>
      </c>
      <c r="I31">
        <v>54540</v>
      </c>
      <c r="J31">
        <v>9.5001287460327148</v>
      </c>
      <c r="K31">
        <v>9</v>
      </c>
    </row>
    <row r="32" spans="1:11" x14ac:dyDescent="0.2">
      <c r="A32">
        <v>7</v>
      </c>
      <c r="B32">
        <v>2</v>
      </c>
      <c r="C32" t="s">
        <v>7</v>
      </c>
      <c r="D32">
        <v>93</v>
      </c>
      <c r="E32">
        <v>111</v>
      </c>
      <c r="F32">
        <v>120</v>
      </c>
      <c r="G32">
        <v>135</v>
      </c>
      <c r="H32">
        <v>4242</v>
      </c>
      <c r="I32">
        <v>4241</v>
      </c>
      <c r="J32">
        <v>10.49698448181152</v>
      </c>
      <c r="K32">
        <v>10</v>
      </c>
    </row>
    <row r="33" spans="1:11" x14ac:dyDescent="0.2">
      <c r="A33">
        <v>7</v>
      </c>
      <c r="B33">
        <v>2</v>
      </c>
      <c r="C33" t="s">
        <v>8</v>
      </c>
      <c r="D33">
        <v>42</v>
      </c>
      <c r="E33">
        <v>52</v>
      </c>
      <c r="F33">
        <v>54</v>
      </c>
      <c r="G33">
        <v>62</v>
      </c>
      <c r="H33">
        <v>2264</v>
      </c>
      <c r="I33">
        <v>2266</v>
      </c>
      <c r="J33">
        <v>10.49698448181152</v>
      </c>
      <c r="K33">
        <v>10</v>
      </c>
    </row>
    <row r="34" spans="1:11" x14ac:dyDescent="0.2">
      <c r="A34">
        <v>7</v>
      </c>
      <c r="B34">
        <v>2</v>
      </c>
      <c r="C34" t="s">
        <v>9</v>
      </c>
      <c r="D34">
        <v>3100</v>
      </c>
      <c r="E34">
        <v>3708</v>
      </c>
      <c r="F34">
        <v>3950</v>
      </c>
      <c r="G34">
        <v>4494</v>
      </c>
      <c r="H34">
        <v>192571</v>
      </c>
      <c r="I34">
        <v>192420</v>
      </c>
      <c r="J34">
        <v>10.49698448181152</v>
      </c>
      <c r="K34">
        <v>10</v>
      </c>
    </row>
    <row r="35" spans="1:11" x14ac:dyDescent="0.2">
      <c r="A35">
        <v>7</v>
      </c>
      <c r="B35">
        <v>2</v>
      </c>
      <c r="C35" t="s">
        <v>10</v>
      </c>
      <c r="D35">
        <v>3230</v>
      </c>
      <c r="E35">
        <v>3940</v>
      </c>
      <c r="F35">
        <v>4340</v>
      </c>
      <c r="G35">
        <v>4890</v>
      </c>
      <c r="H35">
        <v>161833</v>
      </c>
      <c r="I35">
        <v>161760</v>
      </c>
      <c r="J35">
        <v>10.49698448181152</v>
      </c>
      <c r="K35">
        <v>10</v>
      </c>
    </row>
    <row r="36" spans="1:11" x14ac:dyDescent="0.2">
      <c r="A36">
        <v>7</v>
      </c>
      <c r="B36">
        <v>2</v>
      </c>
      <c r="C36" t="s">
        <v>11</v>
      </c>
      <c r="D36">
        <v>780</v>
      </c>
      <c r="E36">
        <v>958</v>
      </c>
      <c r="F36">
        <v>1040</v>
      </c>
      <c r="G36">
        <v>1180</v>
      </c>
      <c r="H36">
        <v>56989</v>
      </c>
      <c r="I36">
        <v>57000</v>
      </c>
      <c r="J36">
        <v>10.49698448181152</v>
      </c>
      <c r="K36">
        <v>10</v>
      </c>
    </row>
    <row r="37" spans="1:11" x14ac:dyDescent="0.2">
      <c r="A37">
        <v>8</v>
      </c>
      <c r="B37">
        <v>2</v>
      </c>
      <c r="C37" t="s">
        <v>7</v>
      </c>
      <c r="D37">
        <v>99</v>
      </c>
      <c r="E37">
        <v>117</v>
      </c>
      <c r="F37">
        <v>127</v>
      </c>
      <c r="G37">
        <v>142</v>
      </c>
      <c r="H37">
        <v>4568</v>
      </c>
      <c r="I37">
        <v>4567</v>
      </c>
      <c r="J37">
        <v>11.500705718994141</v>
      </c>
      <c r="K37">
        <v>11.5</v>
      </c>
    </row>
    <row r="38" spans="1:11" x14ac:dyDescent="0.2">
      <c r="A38">
        <v>8</v>
      </c>
      <c r="B38">
        <v>2</v>
      </c>
      <c r="C38" t="s">
        <v>8</v>
      </c>
      <c r="D38">
        <v>46</v>
      </c>
      <c r="E38">
        <v>54</v>
      </c>
      <c r="F38">
        <v>58</v>
      </c>
      <c r="G38">
        <v>64</v>
      </c>
      <c r="H38">
        <v>2414</v>
      </c>
      <c r="I38">
        <v>2416</v>
      </c>
      <c r="J38">
        <v>11.500705718994141</v>
      </c>
      <c r="K38">
        <v>11.5</v>
      </c>
    </row>
    <row r="39" spans="1:11" x14ac:dyDescent="0.2">
      <c r="A39">
        <v>8</v>
      </c>
      <c r="B39">
        <v>2</v>
      </c>
      <c r="C39" t="s">
        <v>9</v>
      </c>
      <c r="D39">
        <v>3358</v>
      </c>
      <c r="E39">
        <v>3914</v>
      </c>
      <c r="F39">
        <v>4264</v>
      </c>
      <c r="G39">
        <v>4844</v>
      </c>
      <c r="H39">
        <v>207628</v>
      </c>
      <c r="I39">
        <v>207780</v>
      </c>
      <c r="J39">
        <v>11.500705718994141</v>
      </c>
      <c r="K39">
        <v>11.5</v>
      </c>
    </row>
    <row r="40" spans="1:11" x14ac:dyDescent="0.2">
      <c r="A40">
        <v>8</v>
      </c>
      <c r="B40">
        <v>2</v>
      </c>
      <c r="C40" t="s">
        <v>10</v>
      </c>
      <c r="D40">
        <v>3460</v>
      </c>
      <c r="E40">
        <v>4130</v>
      </c>
      <c r="F40">
        <v>4490</v>
      </c>
      <c r="G40">
        <v>5190</v>
      </c>
      <c r="H40">
        <v>173853</v>
      </c>
      <c r="I40">
        <v>173760</v>
      </c>
      <c r="J40">
        <v>11.500705718994141</v>
      </c>
      <c r="K40">
        <v>11.5</v>
      </c>
    </row>
    <row r="41" spans="1:11" x14ac:dyDescent="0.2">
      <c r="A41">
        <v>8</v>
      </c>
      <c r="B41">
        <v>2</v>
      </c>
      <c r="C41" t="s">
        <v>11</v>
      </c>
      <c r="D41">
        <v>858</v>
      </c>
      <c r="E41">
        <v>1018</v>
      </c>
      <c r="F41">
        <v>1080</v>
      </c>
      <c r="G41">
        <v>1240</v>
      </c>
      <c r="H41">
        <v>59986</v>
      </c>
      <c r="I41">
        <v>60000</v>
      </c>
      <c r="J41">
        <v>11.500705718994141</v>
      </c>
      <c r="K41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FY1 Event Pipeline</vt:lpstr>
      <vt:lpstr>Human Resources</vt:lpstr>
      <vt:lpstr>CapEx &amp; Storage</vt:lpstr>
      <vt:lpstr>FY1 Event &amp; Demand Timeline</vt:lpstr>
      <vt:lpstr>Depreciation Schedule</vt:lpstr>
      <vt:lpstr>Revenue Projection</vt:lpstr>
      <vt:lpstr>P&amp;L Projection</vt:lpstr>
      <vt:lpstr>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Mahmood</cp:lastModifiedBy>
  <cp:revision>0</cp:revision>
  <dcterms:created xsi:type="dcterms:W3CDTF">2026-06-04T14:30:43Z</dcterms:created>
  <dcterms:modified xsi:type="dcterms:W3CDTF">2026-06-20T04:55:17Z</dcterms:modified>
  <dc:language>en-US</dc:language>
</cp:coreProperties>
</file>